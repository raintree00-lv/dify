
<file path=[Content_Types].xml><?xml version="1.0" encoding="utf-8"?>
<Types xmlns="http://schemas.openxmlformats.org/package/2006/content-types">
  <Default Extension="vml" ContentType="application/vnd.openxmlformats-officedocument.vmlDrawing"/>
  <Default Extension="jpeg" ContentType="image/jpeg"/>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75" windowHeight="13470" tabRatio="941" firstSheet="1" activeTab="6"/>
  </bookViews>
  <sheets>
    <sheet name="目录" sheetId="9" r:id="rId1"/>
    <sheet name="前端界面说明" sheetId="6" r:id="rId2"/>
    <sheet name="码表与配置" sheetId="3" r:id="rId3"/>
    <sheet name="ads_wdtn_lte_cm_projdata_d" sheetId="18" r:id="rId4"/>
    <sheet name="ads_wdtn_lte_site_correction_d" sheetId="10" r:id="rId5"/>
    <sheet name="ads_wdtn_lte_azimuth_correction" sheetId="11" r:id="rId6"/>
    <sheet name="ads_wdtn_lte_cov_agps_celgrd_d" sheetId="14" r:id="rId7"/>
    <sheet name="ads_wdtn_lte_correction_celgrd_" sheetId="12" r:id="rId8"/>
    <sheet name="GIS图例" sheetId="7" r:id="rId9"/>
    <sheet name="数据表流图" sheetId="13" r:id="rId10"/>
    <sheet name="下发任务逻辑" sheetId="17" r:id="rId11"/>
  </sheets>
  <calcPr calcId="144525" concurrentCalc="0"/>
</workbook>
</file>

<file path=xl/sharedStrings.xml><?xml version="1.0" encoding="utf-8"?>
<sst xmlns="http://schemas.openxmlformats.org/spreadsheetml/2006/main" count="600" uniqueCount="286">
  <si>
    <t>新增功能点：</t>
  </si>
  <si>
    <t>1、支持运营商和承建商两个维度</t>
  </si>
  <si>
    <t>2、增加gis搜索地址的工具，以及常用工具栏</t>
  </si>
  <si>
    <t>3、统计逻辑修改，缺省显示最近一次周任务的统计，同时，还需要可以切换到临时任务统计</t>
  </si>
  <si>
    <t>4、增加周期任务注册（周），以及任务管理支持周期任务</t>
  </si>
  <si>
    <t>5、增加区级统计</t>
  </si>
  <si>
    <t>6、下发任务支持选择数据范围（下限2天，上线30天？）</t>
  </si>
  <si>
    <t>7、统计页图例区间及颜色可配置</t>
  </si>
  <si>
    <t>8、小区弹框显示小区基本信息</t>
  </si>
  <si>
    <t>9、小区位置和朝向表格增加几列，所有表格都需要导出</t>
  </si>
  <si>
    <t>10、其他细节调整</t>
  </si>
  <si>
    <t>11、支持国际化</t>
  </si>
  <si>
    <t>12、统计按市/区固定排序</t>
  </si>
  <si>
    <t>模块</t>
  </si>
  <si>
    <t>位置</t>
  </si>
  <si>
    <t>设计要求</t>
  </si>
  <si>
    <t>逻辑联动</t>
  </si>
  <si>
    <t>来源表</t>
  </si>
  <si>
    <t>字段</t>
  </si>
  <si>
    <t>备注</t>
  </si>
  <si>
    <t>菜单</t>
  </si>
  <si>
    <t>菜单位置</t>
  </si>
  <si>
    <t xml:space="preserve">无线维优-无线指标看板-无线网络孪生
菜单英文名称：Wireless-Digital Twin </t>
  </si>
  <si>
    <t>license</t>
  </si>
  <si>
    <t>license：winmob.net.wirelessdigitaltwin</t>
  </si>
  <si>
    <t>数字孪生应用是否有需要按照用户控制权限的场景？</t>
  </si>
  <si>
    <t>图标</t>
  </si>
  <si>
    <t>，见右侧截图</t>
  </si>
  <si>
    <r>
      <rPr>
        <sz val="12"/>
        <rFont val="宋体"/>
        <charset val="134"/>
      </rPr>
      <t>总体：
1、需要用户触发才执行勘误任务，下发一次同时执行站址和朝向勘误
2、下发参数需要支持</t>
    </r>
    <r>
      <rPr>
        <b/>
        <sz val="12"/>
        <rFont val="宋体"/>
        <charset val="134"/>
      </rPr>
      <t>省市</t>
    </r>
    <r>
      <rPr>
        <sz val="12"/>
        <rFont val="宋体"/>
        <charset val="134"/>
      </rPr>
      <t>，制式（当前仅支持LTE）
3、下发任务前先检查依赖的agps数据（fact_lte_agps_mr），不少于3天才能下发，如果小于三天数据，则提示数据量少，无法执行，超过3天，则取最近一周的agps数据进行清洗</t>
    </r>
  </si>
  <si>
    <t>站址勘误场景</t>
  </si>
  <si>
    <t>左侧</t>
  </si>
  <si>
    <t>统计表：站点信息、工参经纬度、理论经纬度、距离</t>
  </si>
  <si>
    <t>中间+右侧</t>
  </si>
  <si>
    <t>GIS图：站点分布，突出展示问题站点（工参站址）</t>
  </si>
  <si>
    <t>联动</t>
  </si>
  <si>
    <t>左侧统计表选择某个站点：GIS联动，展示该站点工参小区站址、理论站址、两点连线及距离、GNSS数据TA分布栅格图</t>
  </si>
  <si>
    <t>TA分段渲染：
0-1，1-2，2-3，3-4，4-5，5-8，&gt;8，
渲染颜色与RSRP渲染颜色一致</t>
  </si>
  <si>
    <t>朝向勘误场景</t>
  </si>
  <si>
    <t>统计表：站点信息、工参朝向、理论朝向、夹角</t>
  </si>
  <si>
    <t>GIS图：站点分布，突出展示问题小区（工参朝向）</t>
  </si>
  <si>
    <t>左侧统计表选择某个站点：GIS联动，展示该站点工参朝向、理论朝向、夹角、GNSS数据RSRP分布栅格图</t>
  </si>
  <si>
    <t>RSRP分段渲染</t>
  </si>
  <si>
    <t>首页看板</t>
  </si>
  <si>
    <t>显示各市的站姿问题基站统计情况，包括NR和LTE，按照市排名（只显示总问题基站的TOP5的市）；
站姿问题包含站址和朝向有问题的基站，两者都有问题的基站只算一个</t>
  </si>
  <si>
    <t>比例：</t>
  </si>
  <si>
    <t>[0%,5%):005939;  [5%,10%):029AF2; [10%,20%):e77708; [20%,30%):e94f4f；[30%,100%]:943232</t>
  </si>
  <si>
    <t>数量：</t>
  </si>
  <si>
    <t>[0,100):005939;  [100,300):07bb75; [300,500):e77708; [500, 800):e94f4f，[800, ):943232</t>
  </si>
  <si>
    <t>任务管理列表：</t>
  </si>
  <si>
    <r>
      <rPr>
        <sz val="10"/>
        <rFont val="方正书宋_GBK"/>
        <charset val="134"/>
      </rPr>
      <t>任务</t>
    </r>
    <r>
      <rPr>
        <sz val="10"/>
        <rFont val="Arial"/>
        <charset val="134"/>
      </rPr>
      <t>ID</t>
    </r>
  </si>
  <si>
    <t>详情</t>
  </si>
  <si>
    <t>任务名称</t>
  </si>
  <si>
    <t>创建时间</t>
  </si>
  <si>
    <t>类型</t>
  </si>
  <si>
    <t>区域</t>
  </si>
  <si>
    <t>任务状态</t>
  </si>
  <si>
    <t>执行时长</t>
  </si>
  <si>
    <t>操作</t>
  </si>
  <si>
    <t>test</t>
  </si>
  <si>
    <r>
      <rPr>
        <sz val="10"/>
        <rFont val="Arial"/>
        <charset val="134"/>
      </rPr>
      <t>2023-09-07 10</t>
    </r>
    <r>
      <rPr>
        <sz val="10"/>
        <rFont val="方正书宋_GBK"/>
        <charset val="134"/>
      </rPr>
      <t>：</t>
    </r>
    <r>
      <rPr>
        <sz val="10"/>
        <rFont val="Arial"/>
        <charset val="134"/>
      </rPr>
      <t>10</t>
    </r>
    <r>
      <rPr>
        <sz val="10"/>
        <rFont val="方正书宋_GBK"/>
        <charset val="134"/>
      </rPr>
      <t>：</t>
    </r>
    <r>
      <rPr>
        <sz val="10"/>
        <rFont val="Arial"/>
        <charset val="134"/>
      </rPr>
      <t>10</t>
    </r>
  </si>
  <si>
    <r>
      <rPr>
        <sz val="10"/>
        <rFont val="Arial"/>
        <charset val="134"/>
      </rPr>
      <t>LTE</t>
    </r>
    <r>
      <rPr>
        <sz val="10"/>
        <rFont val="方正书宋_GBK"/>
        <charset val="134"/>
      </rPr>
      <t>资源勘误</t>
    </r>
  </si>
  <si>
    <r>
      <rPr>
        <sz val="10"/>
        <rFont val="方正书宋_GBK"/>
        <charset val="134"/>
      </rPr>
      <t>浙江</t>
    </r>
    <r>
      <rPr>
        <sz val="10"/>
        <rFont val="Arial"/>
        <charset val="134"/>
      </rPr>
      <t>-</t>
    </r>
    <r>
      <rPr>
        <sz val="10"/>
        <rFont val="方正书宋_GBK"/>
        <charset val="134"/>
      </rPr>
      <t>杭州</t>
    </r>
  </si>
  <si>
    <t>成功</t>
  </si>
  <si>
    <t>任务下发参数</t>
  </si>
  <si>
    <t>只能包含数字,字符（大小写）以及下划线和中划线</t>
  </si>
  <si>
    <t>下拉框，包含省市编码</t>
  </si>
  <si>
    <t>站址勘误展示字段：</t>
  </si>
  <si>
    <t>小区</t>
  </si>
  <si>
    <t>工参</t>
  </si>
  <si>
    <t>预修正</t>
  </si>
  <si>
    <t>距离（米）</t>
  </si>
  <si>
    <t>县区</t>
  </si>
  <si>
    <t>城市</t>
  </si>
  <si>
    <t>经度</t>
  </si>
  <si>
    <t>纬度</t>
  </si>
  <si>
    <t>置信度</t>
  </si>
  <si>
    <t>314516_49</t>
  </si>
  <si>
    <t>XX区</t>
  </si>
  <si>
    <t>杭州</t>
  </si>
  <si>
    <t>高</t>
  </si>
  <si>
    <t>保留8位小数</t>
  </si>
  <si>
    <t>保留两位小数</t>
  </si>
  <si>
    <t>朝向勘误字段</t>
  </si>
  <si>
    <t>工参朝向</t>
  </si>
  <si>
    <t>预修正朝向</t>
  </si>
  <si>
    <t>夹角</t>
  </si>
  <si>
    <t>无</t>
  </si>
  <si>
    <t>序号</t>
  </si>
  <si>
    <t>表名</t>
  </si>
  <si>
    <t>是否在界面上显示</t>
  </si>
  <si>
    <t>所属菜单</t>
  </si>
  <si>
    <t>支持界面添加删除记录</t>
  </si>
  <si>
    <t>中文名</t>
  </si>
  <si>
    <t>英文名</t>
  </si>
  <si>
    <t>LTE Resource Correction Configuration</t>
  </si>
  <si>
    <t>不放业务配置，修改为下发时携带</t>
  </si>
  <si>
    <t>pkey</t>
  </si>
  <si>
    <t>站址勘误高置信度门限</t>
  </si>
  <si>
    <t>站址勘误低置信度门限</t>
  </si>
  <si>
    <t>有效栅格MR门限</t>
  </si>
  <si>
    <t>站址勘误有效栅格数</t>
  </si>
  <si>
    <t>朝向勘误高置信度门限</t>
  </si>
  <si>
    <t>朝向勘误低置信度门限</t>
  </si>
  <si>
    <t>朝向勘误有效栅格数</t>
  </si>
  <si>
    <t>20</t>
  </si>
  <si>
    <t>r_config_cityorderconfig</t>
  </si>
  <si>
    <t>cityorder,citycode,cityname,districtorder,districtcode,districtname</t>
  </si>
  <si>
    <t>10,330100,杭州,6,330104,江干区</t>
  </si>
  <si>
    <t>10,330100,杭州,4,330105,拱墅区</t>
  </si>
  <si>
    <t>10,330100,杭州,12,330106,西湖区</t>
  </si>
  <si>
    <t>10,330100,杭州,1,330108,滨江区</t>
  </si>
  <si>
    <t>10,330100,杭州,14,330109,萧山区</t>
  </si>
  <si>
    <t>表名：ads_wdtn_lte_cm_projdata_d</t>
  </si>
  <si>
    <t>来源表：lte_cm_projdata（按照省市区，运营商，筛选出来）</t>
  </si>
  <si>
    <t>推送AP查询</t>
  </si>
  <si>
    <t>名称</t>
  </si>
  <si>
    <t>算法</t>
  </si>
  <si>
    <t>provinceCode</t>
  </si>
  <si>
    <t>int</t>
  </si>
  <si>
    <t>省码</t>
  </si>
  <si>
    <t>p_provinceCode</t>
  </si>
  <si>
    <t>day</t>
  </si>
  <si>
    <t>string</t>
  </si>
  <si>
    <t>日期</t>
  </si>
  <si>
    <t>p_date</t>
  </si>
  <si>
    <t>taskid</t>
  </si>
  <si>
    <t>任务id</t>
  </si>
  <si>
    <t>p_taskid</t>
  </si>
  <si>
    <t>cityCode</t>
  </si>
  <si>
    <t>市码</t>
  </si>
  <si>
    <t>districtCode</t>
  </si>
  <si>
    <t>区码</t>
  </si>
  <si>
    <t>province</t>
  </si>
  <si>
    <t>省名称</t>
  </si>
  <si>
    <t>city</t>
  </si>
  <si>
    <t>市名称</t>
  </si>
  <si>
    <t>district</t>
  </si>
  <si>
    <t>区名称</t>
  </si>
  <si>
    <t>contractorid</t>
  </si>
  <si>
    <t>承建方id（1/2）</t>
  </si>
  <si>
    <t>关联配置获取</t>
  </si>
  <si>
    <t>covertype</t>
  </si>
  <si>
    <t>String</t>
  </si>
  <si>
    <t>覆盖类型</t>
  </si>
  <si>
    <t>rattype</t>
  </si>
  <si>
    <t>制式</t>
  </si>
  <si>
    <t>networkstandard</t>
  </si>
  <si>
    <t>enodebname</t>
  </si>
  <si>
    <t>基站名称</t>
  </si>
  <si>
    <t>enodebid</t>
  </si>
  <si>
    <t>基站id</t>
  </si>
  <si>
    <t>enodebtype</t>
  </si>
  <si>
    <t>基站类型</t>
  </si>
  <si>
    <t>mcc</t>
  </si>
  <si>
    <t>mnc</t>
  </si>
  <si>
    <t>enodeblon</t>
  </si>
  <si>
    <t>double</t>
  </si>
  <si>
    <t>基站经度</t>
  </si>
  <si>
    <t>enodeblat</t>
  </si>
  <si>
    <t>基站纬度</t>
  </si>
  <si>
    <t>cellname</t>
  </si>
  <si>
    <t>小区名称</t>
  </si>
  <si>
    <t>cellid</t>
  </si>
  <si>
    <t>小区id</t>
  </si>
  <si>
    <t>cid</t>
  </si>
  <si>
    <t>celltype</t>
  </si>
  <si>
    <t>小区类型</t>
  </si>
  <si>
    <t>celllon</t>
  </si>
  <si>
    <t>小区经度</t>
  </si>
  <si>
    <t>celllat</t>
  </si>
  <si>
    <t>小区纬度</t>
  </si>
  <si>
    <t>height</t>
  </si>
  <si>
    <t>天线高度</t>
  </si>
  <si>
    <t>azimuth</t>
  </si>
  <si>
    <t>小区方位角</t>
  </si>
  <si>
    <t>mechanicaldowntilt</t>
  </si>
  <si>
    <t>机械下倾角</t>
  </si>
  <si>
    <t>electricaldowntilt</t>
  </si>
  <si>
    <t>电子下倾角</t>
  </si>
  <si>
    <t>eutraband</t>
  </si>
  <si>
    <t>频段指示</t>
  </si>
  <si>
    <t>dlband</t>
  </si>
  <si>
    <t>下行带宽</t>
  </si>
  <si>
    <t>dlfrequency</t>
  </si>
  <si>
    <t>下行频点</t>
  </si>
  <si>
    <t>vendor</t>
  </si>
  <si>
    <t>厂家</t>
  </si>
  <si>
    <t>cellkey</t>
  </si>
  <si>
    <t>小区key</t>
  </si>
  <si>
    <t>reportCellkey</t>
  </si>
  <si>
    <t>dl_earfcn</t>
  </si>
  <si>
    <t>bandclass</t>
  </si>
  <si>
    <t>频段</t>
  </si>
  <si>
    <t>pci</t>
  </si>
  <si>
    <t>省分区</t>
  </si>
  <si>
    <t>天分区</t>
  </si>
  <si>
    <t>任务分区</t>
  </si>
  <si>
    <t>表名：ads_wdtn_lte_site_correction_d</t>
  </si>
  <si>
    <t>来源表：ads_wdtn_lte_cm_projdata_d（按照省市区筛选，运营商，以及宏站筛选出来），fact_lte_agps_mr（过滤掉没有TA的agps，其中TA是ts为单位，需要进行除16转换）</t>
  </si>
  <si>
    <t>具体算法见《宏站工参估计算法》：异常处理：如小区下AGPS点数少于门限，则认为数据量不够，不进行勘误，转换栅格后的agps点数过少，也不进行勘误
另外，勘误算法是按照基站维度进行勘误，用户需要小区维度，因此，将估计得基站经纬度，当做该基站下所有小区的经纬度，即，该表结果中原始经纬度为勘误出来的有问题的基站下所有小区的经纬度，勘误的基站经纬度作为表中勘误的小区经纬度的值</t>
  </si>
  <si>
    <t>显示字段</t>
  </si>
  <si>
    <t>承建方</t>
  </si>
  <si>
    <t>关联工参获取</t>
  </si>
  <si>
    <t>origin_lon</t>
  </si>
  <si>
    <t>原始的小区经度</t>
  </si>
  <si>
    <t>origin_lat</t>
  </si>
  <si>
    <t>原始的小区纬度</t>
  </si>
  <si>
    <t>correction_lon</t>
  </si>
  <si>
    <t>勘误的小区经度</t>
  </si>
  <si>
    <t>correction_lat</t>
  </si>
  <si>
    <t>勘误的小区纬度</t>
  </si>
  <si>
    <t>confidence</t>
  </si>
  <si>
    <t>distance</t>
  </si>
  <si>
    <t>距离</t>
  </si>
  <si>
    <t>p_provincecode</t>
  </si>
  <si>
    <t>—</t>
  </si>
  <si>
    <t>表名：ads_wdtn_lte_azimuth_correction_d</t>
  </si>
  <si>
    <t>来源表：ads_wdtn_lte_cm_projdata_d，ads_wdtn_lte_site_correction，将勘误后的基站站址赋给工参表对应的基站小区，并筛选出宏站对应的小区，对这些小区进行朝向勘误，
fact_lte_agps_mr（过滤掉没有TA的agps，其中TA是ts为单位，需要进行除16转换）</t>
  </si>
  <si>
    <t>小时</t>
  </si>
  <si>
    <t>origin_azimuth</t>
  </si>
  <si>
    <t>原始方向角</t>
  </si>
  <si>
    <t>correction_azimuth</t>
  </si>
  <si>
    <t>纠正后的方向角</t>
  </si>
  <si>
    <t>angle</t>
  </si>
  <si>
    <t>原始方位角和纠正的方位角的夹角</t>
  </si>
  <si>
    <t>表名：ads_wdtn_lte_cov_agps_celgrd_d</t>
  </si>
  <si>
    <t>来源表：fact_lte_agps_mr</t>
  </si>
  <si>
    <t>算法说明：从fact_lte_agps_mr中，按照小区栅格维度汇聚</t>
  </si>
  <si>
    <t>enbid</t>
  </si>
  <si>
    <t>regionid</t>
  </si>
  <si>
    <t>x_offset</t>
  </si>
  <si>
    <t>x_offset_20</t>
  </si>
  <si>
    <t>20米的栅格</t>
  </si>
  <si>
    <t>y_offset</t>
  </si>
  <si>
    <t>y_offset_20</t>
  </si>
  <si>
    <t>totalrsrp</t>
  </si>
  <si>
    <t>bigint</t>
  </si>
  <si>
    <t>总rsrp</t>
  </si>
  <si>
    <t>sum</t>
  </si>
  <si>
    <t>avgrsrp</t>
  </si>
  <si>
    <t>平均rsrp</t>
  </si>
  <si>
    <t>sum(totalrsrp)/sum(rsrpcount)</t>
  </si>
  <si>
    <t>rsrpcount</t>
  </si>
  <si>
    <t>rsrp点数</t>
  </si>
  <si>
    <t>avgta</t>
  </si>
  <si>
    <t>平均ta</t>
  </si>
  <si>
    <t>ta/16</t>
  </si>
  <si>
    <t>sum(ta)/sum(tacount)</t>
  </si>
  <si>
    <t>tacount</t>
  </si>
  <si>
    <t>ta点数</t>
  </si>
  <si>
    <t>count(ta)</t>
  </si>
  <si>
    <t>表名: ads_wdtn_lte_correction_celgrd_d</t>
  </si>
  <si>
    <t>来源表：ads_wdtn_lte_site_correction_d, ads_wdtn_lte_azimuth_correction，ads_wdtn_lte_cov_agps_celgrd_d</t>
  </si>
  <si>
    <t>算法：ads_wdtn_lte_site_correction_d 和 ads_wdtn_lte_azimuth_correction中的异常小区取并集，关联ads_wdtn_lte_cov_agps_celgrd_d的数据，筛选出这些小区对应的栅格以及指标</t>
  </si>
  <si>
    <t>推送AP查询：确认下数据量</t>
  </si>
  <si>
    <t>指标</t>
  </si>
  <si>
    <t>加载方式</t>
  </si>
  <si>
    <t>颜色说明</t>
  </si>
  <si>
    <t>业务配置</t>
  </si>
  <si>
    <t>9区间颜色顺序</t>
  </si>
  <si>
    <t>最小值</t>
  </si>
  <si>
    <t>最大值</t>
  </si>
  <si>
    <t>颜色1</t>
  </si>
  <si>
    <t>颜色2</t>
  </si>
  <si>
    <t>颜色3</t>
  </si>
  <si>
    <t>颜色4</t>
  </si>
  <si>
    <t>颜色5</t>
  </si>
  <si>
    <t>颜色6</t>
  </si>
  <si>
    <t>颜色7</t>
  </si>
  <si>
    <t>颜色8</t>
  </si>
  <si>
    <t>颜色9</t>
  </si>
  <si>
    <t>业务活跃度</t>
  </si>
  <si>
    <t>热力</t>
  </si>
  <si>
    <t>值越大越红</t>
  </si>
  <si>
    <t>#530AFF</t>
  </si>
  <si>
    <t>#0128FF</t>
  </si>
  <si>
    <t>#168EFF</t>
  </si>
  <si>
    <t>#39D1F1</t>
  </si>
  <si>
    <t>#40EFA2</t>
  </si>
  <si>
    <t>#BAE300</t>
  </si>
  <si>
    <t>#EFE100</t>
  </si>
  <si>
    <t>#ED8600</t>
  </si>
  <si>
    <t>#E0360E</t>
  </si>
  <si>
    <t>RSRP均值(dBm)</t>
  </si>
  <si>
    <t>值越大越绿</t>
  </si>
  <si>
    <t>流量(MB)</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</si>
</sst>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4">
    <font>
      <sz val="12"/>
      <name val="宋体"/>
      <charset val="134"/>
    </font>
    <font>
      <b/>
      <sz val="12"/>
      <name val="宋体"/>
      <charset val="134"/>
    </font>
    <font>
      <b/>
      <sz val="10.5"/>
      <name val="宋体"/>
      <charset val="134"/>
    </font>
    <font>
      <b/>
      <sz val="10.5"/>
      <color rgb="FFFF0000"/>
      <name val="宋体"/>
      <charset val="134"/>
    </font>
    <font>
      <sz val="10"/>
      <color theme="1"/>
      <name val="微软雅黑"/>
      <charset val="134"/>
    </font>
    <font>
      <sz val="10"/>
      <name val="微软雅黑"/>
      <charset val="134"/>
    </font>
    <font>
      <sz val="12"/>
      <name val="微软雅黑"/>
      <charset val="134"/>
    </font>
    <font>
      <sz val="11"/>
      <color theme="1"/>
      <name val="宋体"/>
      <charset val="134"/>
      <scheme val="minor"/>
    </font>
    <font>
      <sz val="12"/>
      <color theme="1"/>
      <name val="微软雅黑"/>
      <charset val="134"/>
    </font>
    <font>
      <sz val="9"/>
      <name val="微软雅黑"/>
      <charset val="134"/>
    </font>
    <font>
      <sz val="10.5"/>
      <color rgb="FF555555"/>
      <name val="Arial"/>
      <charset val="134"/>
    </font>
    <font>
      <sz val="11"/>
      <name val="宋体"/>
      <charset val="134"/>
      <scheme val="minor"/>
    </font>
    <font>
      <sz val="10"/>
      <name val="方正书宋_GBK"/>
      <charset val="134"/>
    </font>
    <font>
      <sz val="10"/>
      <name val="Arial"/>
      <charset val="134"/>
    </font>
    <font>
      <sz val="10"/>
      <name val="宋体"/>
      <charset val="134"/>
    </font>
    <font>
      <u/>
      <sz val="11"/>
      <color rgb="FF0000FF"/>
      <name val="宋体"/>
      <charset val="0"/>
      <scheme val="minor"/>
    </font>
    <font>
      <u/>
      <sz val="11"/>
      <color rgb="FF800080"/>
      <name val="宋体"/>
      <charset val="0"/>
      <scheme val="minor"/>
    </font>
    <font>
      <sz val="11"/>
      <color theme="1"/>
      <name val="宋体"/>
      <charset val="0"/>
      <scheme val="minor"/>
    </font>
    <font>
      <sz val="11"/>
      <color theme="0"/>
      <name val="宋体"/>
      <charset val="0"/>
      <scheme val="minor"/>
    </font>
    <font>
      <b/>
      <sz val="15"/>
      <color theme="3"/>
      <name val="宋体"/>
      <charset val="134"/>
      <scheme val="minor"/>
    </font>
    <font>
      <b/>
      <sz val="11"/>
      <color rgb="FF3F3F3F"/>
      <name val="宋体"/>
      <charset val="0"/>
      <scheme val="minor"/>
    </font>
    <font>
      <sz val="11"/>
      <color rgb="FFFA7D00"/>
      <name val="宋体"/>
      <charset val="0"/>
      <scheme val="minor"/>
    </font>
    <font>
      <sz val="11"/>
      <color rgb="FF9C0006"/>
      <name val="宋体"/>
      <charset val="0"/>
      <scheme val="minor"/>
    </font>
    <font>
      <b/>
      <sz val="13"/>
      <color theme="3"/>
      <name val="宋体"/>
      <charset val="134"/>
      <scheme val="minor"/>
    </font>
    <font>
      <b/>
      <sz val="11"/>
      <color theme="1"/>
      <name val="宋体"/>
      <charset val="0"/>
      <scheme val="minor"/>
    </font>
    <font>
      <b/>
      <sz val="18"/>
      <color theme="3"/>
      <name val="宋体"/>
      <charset val="134"/>
      <scheme val="minor"/>
    </font>
    <font>
      <b/>
      <sz val="11"/>
      <color theme="3"/>
      <name val="宋体"/>
      <charset val="134"/>
      <scheme val="minor"/>
    </font>
    <font>
      <b/>
      <sz val="11"/>
      <color rgb="FFFA7D00"/>
      <name val="宋体"/>
      <charset val="0"/>
      <scheme val="minor"/>
    </font>
    <font>
      <i/>
      <sz val="11"/>
      <color rgb="FF7F7F7F"/>
      <name val="宋体"/>
      <charset val="0"/>
      <scheme val="minor"/>
    </font>
    <font>
      <sz val="11"/>
      <color rgb="FF3F3F76"/>
      <name val="宋体"/>
      <charset val="0"/>
      <scheme val="minor"/>
    </font>
    <font>
      <sz val="11"/>
      <color rgb="FF006100"/>
      <name val="宋体"/>
      <charset val="0"/>
      <scheme val="minor"/>
    </font>
    <font>
      <sz val="11"/>
      <color rgb="FF9C6500"/>
      <name val="宋体"/>
      <charset val="0"/>
      <scheme val="minor"/>
    </font>
    <font>
      <sz val="11"/>
      <color rgb="FFFF0000"/>
      <name val="宋体"/>
      <charset val="0"/>
      <scheme val="minor"/>
    </font>
    <font>
      <b/>
      <sz val="11"/>
      <color rgb="FFFFFFFF"/>
      <name val="宋体"/>
      <charset val="0"/>
      <scheme val="minor"/>
    </font>
  </fonts>
  <fills count="49">
    <fill>
      <patternFill patternType="none"/>
    </fill>
    <fill>
      <patternFill patternType="gray125"/>
    </fill>
    <fill>
      <patternFill patternType="solid">
        <fgColor theme="1" tint="0.8"/>
        <bgColor indexed="64"/>
      </patternFill>
    </fill>
    <fill>
      <patternFill patternType="solid">
        <fgColor rgb="FF530AFF"/>
        <bgColor indexed="64"/>
      </patternFill>
    </fill>
    <fill>
      <patternFill patternType="solid">
        <fgColor rgb="FFE0360E"/>
        <bgColor indexed="64"/>
      </patternFill>
    </fill>
    <fill>
      <patternFill patternType="solid">
        <fgColor rgb="FF0128FF"/>
        <bgColor indexed="64"/>
      </patternFill>
    </fill>
    <fill>
      <patternFill patternType="solid">
        <fgColor rgb="FF168EFF"/>
        <bgColor indexed="64"/>
      </patternFill>
    </fill>
    <fill>
      <patternFill patternType="solid">
        <fgColor rgb="FF39D1F1"/>
        <bgColor indexed="64"/>
      </patternFill>
    </fill>
    <fill>
      <patternFill patternType="solid">
        <fgColor rgb="FF40EFA2"/>
        <bgColor indexed="64"/>
      </patternFill>
    </fill>
    <fill>
      <patternFill patternType="solid">
        <fgColor rgb="FFED8600"/>
        <bgColor indexed="64"/>
      </patternFill>
    </fill>
    <fill>
      <patternFill patternType="solid">
        <fgColor rgb="FFEFE100"/>
        <bgColor indexed="64"/>
      </patternFill>
    </fill>
    <fill>
      <patternFill patternType="solid">
        <fgColor rgb="FFBAE300"/>
        <bgColor indexed="64"/>
      </patternFill>
    </fill>
    <fill>
      <patternFill patternType="solid">
        <fgColor theme="0"/>
        <bgColor indexed="64"/>
      </patternFill>
    </fill>
    <fill>
      <patternFill patternType="solid">
        <fgColor theme="4" tint="0.8"/>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
        <bgColor indexed="64"/>
      </patternFill>
    </fill>
    <fill>
      <patternFill patternType="solid">
        <fgColor theme="4"/>
        <bgColor indexed="64"/>
      </patternFill>
    </fill>
    <fill>
      <patternFill patternType="solid">
        <fgColor theme="4" tint="0.6"/>
        <bgColor indexed="64"/>
      </patternFill>
    </fill>
    <fill>
      <patternFill patternType="solid">
        <fgColor theme="3" tint="0.8"/>
        <bgColor indexed="64"/>
      </patternFill>
    </fill>
    <fill>
      <patternFill patternType="solid">
        <fgColor theme="4"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rgb="FFFFFFCC"/>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C99"/>
        <bgColor indexed="64"/>
      </patternFill>
    </fill>
    <fill>
      <patternFill patternType="solid">
        <fgColor theme="9"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rgb="FFFFEB9C"/>
        <bgColor indexed="64"/>
      </patternFill>
    </fill>
    <fill>
      <patternFill patternType="solid">
        <fgColor theme="6"/>
        <bgColor indexed="64"/>
      </patternFill>
    </fill>
    <fill>
      <patternFill patternType="solid">
        <fgColor rgb="FFA5A5A5"/>
        <bgColor indexed="64"/>
      </patternFill>
    </fill>
  </fills>
  <borders count="15">
    <border>
      <left/>
      <right/>
      <top/>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0" fontId="0" fillId="0" borderId="0">
      <alignment vertical="center"/>
    </xf>
    <xf numFmtId="0" fontId="0" fillId="0" borderId="0">
      <alignment vertical="center"/>
    </xf>
    <xf numFmtId="0" fontId="18" fillId="45" borderId="0" applyNumberFormat="false" applyBorder="false" applyAlignment="false" applyProtection="false">
      <alignment vertical="center"/>
    </xf>
    <xf numFmtId="0" fontId="17" fillId="41" borderId="0" applyNumberFormat="false" applyBorder="false" applyAlignment="false" applyProtection="false">
      <alignment vertical="center"/>
    </xf>
    <xf numFmtId="0" fontId="18" fillId="39" borderId="0" applyNumberFormat="false" applyBorder="false" applyAlignment="false" applyProtection="false">
      <alignment vertical="center"/>
    </xf>
    <xf numFmtId="0" fontId="29" fillId="42" borderId="13" applyNumberFormat="false" applyAlignment="false" applyProtection="false">
      <alignment vertical="center"/>
    </xf>
    <xf numFmtId="0" fontId="17" fillId="24" borderId="0" applyNumberFormat="false" applyBorder="false" applyAlignment="false" applyProtection="false">
      <alignment vertical="center"/>
    </xf>
    <xf numFmtId="0" fontId="17" fillId="40" borderId="0" applyNumberFormat="false" applyBorder="false" applyAlignment="false" applyProtection="false">
      <alignment vertical="center"/>
    </xf>
    <xf numFmtId="44" fontId="7" fillId="0" borderId="0" applyFont="false" applyFill="false" applyBorder="false" applyAlignment="false" applyProtection="false">
      <alignment vertical="center"/>
    </xf>
    <xf numFmtId="0" fontId="18" fillId="47" borderId="0" applyNumberFormat="false" applyBorder="false" applyAlignment="false" applyProtection="false">
      <alignment vertical="center"/>
    </xf>
    <xf numFmtId="9" fontId="7" fillId="0" borderId="0" applyFont="false" applyFill="false" applyBorder="false" applyAlignment="false" applyProtection="false">
      <alignment vertical="center"/>
    </xf>
    <xf numFmtId="0" fontId="18" fillId="38" borderId="0" applyNumberFormat="false" applyBorder="false" applyAlignment="false" applyProtection="false">
      <alignment vertical="center"/>
    </xf>
    <xf numFmtId="0" fontId="18" fillId="33" borderId="0" applyNumberFormat="false" applyBorder="false" applyAlignment="false" applyProtection="false">
      <alignment vertical="center"/>
    </xf>
    <xf numFmtId="0" fontId="18" fillId="37" borderId="0" applyNumberFormat="false" applyBorder="false" applyAlignment="false" applyProtection="false">
      <alignment vertical="center"/>
    </xf>
    <xf numFmtId="0" fontId="18" fillId="36"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27" fillId="28" borderId="13" applyNumberFormat="false" applyAlignment="false" applyProtection="false">
      <alignment vertical="center"/>
    </xf>
    <xf numFmtId="0" fontId="18" fillId="17" borderId="0" applyNumberFormat="false" applyBorder="false" applyAlignment="false" applyProtection="false">
      <alignment vertical="center"/>
    </xf>
    <xf numFmtId="0" fontId="31" fillId="46" borderId="0" applyNumberFormat="false" applyBorder="false" applyAlignment="false" applyProtection="false">
      <alignment vertical="center"/>
    </xf>
    <xf numFmtId="0" fontId="17" fillId="16" borderId="0" applyNumberFormat="false" applyBorder="false" applyAlignment="false" applyProtection="false">
      <alignment vertical="center"/>
    </xf>
    <xf numFmtId="0" fontId="30" fillId="44" borderId="0" applyNumberFormat="false" applyBorder="false" applyAlignment="false" applyProtection="false">
      <alignment vertical="center"/>
    </xf>
    <xf numFmtId="0" fontId="17" fillId="22" borderId="0" applyNumberFormat="false" applyBorder="false" applyAlignment="false" applyProtection="false">
      <alignment vertical="center"/>
    </xf>
    <xf numFmtId="0" fontId="24" fillId="0" borderId="10" applyNumberFormat="false" applyFill="false" applyAlignment="false" applyProtection="false">
      <alignment vertical="center"/>
    </xf>
    <xf numFmtId="0" fontId="22" fillId="30" borderId="0" applyNumberFormat="false" applyBorder="false" applyAlignment="false" applyProtection="false">
      <alignment vertical="center"/>
    </xf>
    <xf numFmtId="0" fontId="33" fillId="48" borderId="14" applyNumberFormat="false" applyAlignment="false" applyProtection="false">
      <alignment vertical="center"/>
    </xf>
    <xf numFmtId="0" fontId="20" fillId="28" borderId="8" applyNumberFormat="false" applyAlignment="false" applyProtection="false">
      <alignment vertical="center"/>
    </xf>
    <xf numFmtId="0" fontId="19" fillId="0" borderId="7" applyNumberFormat="false" applyFill="false" applyAlignment="false" applyProtection="false">
      <alignment vertical="center"/>
    </xf>
    <xf numFmtId="0" fontId="28" fillId="0" borderId="0" applyNumberFormat="false" applyFill="false" applyBorder="false" applyAlignment="false" applyProtection="false">
      <alignment vertical="center"/>
    </xf>
    <xf numFmtId="0" fontId="17" fillId="27" borderId="0" applyNumberFormat="false" applyBorder="false" applyAlignment="false" applyProtection="false">
      <alignment vertical="center"/>
    </xf>
    <xf numFmtId="0" fontId="26" fillId="0" borderId="0" applyNumberFormat="false" applyFill="false" applyBorder="false" applyAlignment="false" applyProtection="false">
      <alignment vertical="center"/>
    </xf>
    <xf numFmtId="42" fontId="7" fillId="0" borderId="0" applyFont="false" applyFill="false" applyBorder="false" applyAlignment="false" applyProtection="false">
      <alignment vertical="center"/>
    </xf>
    <xf numFmtId="0" fontId="17" fillId="25" borderId="0" applyNumberFormat="false" applyBorder="false" applyAlignment="false" applyProtection="false">
      <alignment vertical="center"/>
    </xf>
    <xf numFmtId="43" fontId="7"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25" fillId="0" borderId="0" applyNumberFormat="false" applyFill="false" applyBorder="false" applyAlignment="false" applyProtection="false">
      <alignment vertical="center"/>
    </xf>
    <xf numFmtId="0" fontId="17" fillId="31" borderId="0" applyNumberFormat="false" applyBorder="false" applyAlignment="false" applyProtection="false">
      <alignment vertical="center"/>
    </xf>
    <xf numFmtId="0" fontId="32" fillId="0" borderId="0" applyNumberFormat="false" applyFill="false" applyBorder="false" applyAlignment="false" applyProtection="false">
      <alignment vertical="center"/>
    </xf>
    <xf numFmtId="0" fontId="18" fillId="26" borderId="0" applyNumberFormat="false" applyBorder="false" applyAlignment="false" applyProtection="false">
      <alignment vertical="center"/>
    </xf>
    <xf numFmtId="0" fontId="7" fillId="32" borderId="11" applyNumberFormat="false" applyFont="false" applyAlignment="false" applyProtection="false">
      <alignment vertical="center"/>
    </xf>
    <xf numFmtId="0" fontId="17" fillId="43" borderId="0" applyNumberFormat="false" applyBorder="false" applyAlignment="false" applyProtection="false">
      <alignment vertical="center"/>
    </xf>
    <xf numFmtId="0" fontId="18" fillId="35" borderId="0" applyNumberFormat="false" applyBorder="false" applyAlignment="false" applyProtection="false">
      <alignment vertical="center"/>
    </xf>
    <xf numFmtId="0" fontId="17" fillId="34" borderId="0" applyNumberFormat="false" applyBorder="false" applyAlignment="false" applyProtection="false">
      <alignment vertical="center"/>
    </xf>
    <xf numFmtId="0" fontId="15" fillId="0" borderId="0" applyNumberFormat="false" applyFill="false" applyBorder="false" applyAlignment="false" applyProtection="false">
      <alignment vertical="center"/>
    </xf>
    <xf numFmtId="41" fontId="7" fillId="0" borderId="0" applyFont="false" applyFill="false" applyBorder="false" applyAlignment="false" applyProtection="false">
      <alignment vertical="center"/>
    </xf>
    <xf numFmtId="0" fontId="23" fillId="0" borderId="7" applyNumberFormat="false" applyFill="false" applyAlignment="false" applyProtection="false">
      <alignment vertical="center"/>
    </xf>
    <xf numFmtId="0" fontId="17" fillId="23" borderId="0" applyNumberFormat="false" applyBorder="false" applyAlignment="false" applyProtection="false">
      <alignment vertical="center"/>
    </xf>
    <xf numFmtId="0" fontId="26" fillId="0" borderId="12" applyNumberFormat="false" applyFill="false" applyAlignment="false" applyProtection="false">
      <alignment vertical="center"/>
    </xf>
    <xf numFmtId="0" fontId="18" fillId="21" borderId="0" applyNumberFormat="false" applyBorder="false" applyAlignment="false" applyProtection="false">
      <alignment vertical="center"/>
    </xf>
    <xf numFmtId="0" fontId="17" fillId="20" borderId="0" applyNumberFormat="false" applyBorder="false" applyAlignment="false" applyProtection="false">
      <alignment vertical="center"/>
    </xf>
    <xf numFmtId="0" fontId="21" fillId="0" borderId="9" applyNumberFormat="false" applyFill="false" applyAlignment="false" applyProtection="false">
      <alignment vertical="center"/>
    </xf>
  </cellStyleXfs>
  <cellXfs count="76">
    <xf numFmtId="0" fontId="0" fillId="0" borderId="0" xfId="0" applyAlignment="true"/>
    <xf numFmtId="0" fontId="1" fillId="2" borderId="1" xfId="0" applyFont="true" applyFill="true" applyBorder="true" applyAlignment="true">
      <alignment horizontal="center" vertical="center"/>
    </xf>
    <xf numFmtId="0" fontId="1" fillId="2" borderId="2" xfId="0" applyFont="true" applyFill="true" applyBorder="true" applyAlignment="true">
      <alignment horizontal="left" vertical="center"/>
    </xf>
    <xf numFmtId="0" fontId="2" fillId="0" borderId="3" xfId="0" applyFont="true" applyFill="true" applyBorder="true" applyAlignment="true">
      <alignment horizontal="left" vertical="center"/>
    </xf>
    <xf numFmtId="0" fontId="1" fillId="2" borderId="3" xfId="0" applyFont="true" applyFill="true" applyBorder="true" applyAlignment="true">
      <alignment horizontal="center"/>
    </xf>
    <xf numFmtId="0" fontId="1" fillId="2" borderId="4" xfId="0" applyFont="true" applyFill="true" applyBorder="true" applyAlignment="true">
      <alignment horizontal="center"/>
    </xf>
    <xf numFmtId="0" fontId="1" fillId="2" borderId="3" xfId="0" applyFont="true" applyFill="true" applyBorder="true" applyAlignment="true">
      <alignment horizontal="left" vertical="center"/>
    </xf>
    <xf numFmtId="0" fontId="1" fillId="3" borderId="3" xfId="0" applyFont="true" applyFill="true" applyBorder="true" applyAlignment="true">
      <alignment horizontal="left" vertical="center"/>
    </xf>
    <xf numFmtId="0" fontId="0" fillId="0" borderId="3" xfId="0" applyBorder="true" applyAlignment="true"/>
    <xf numFmtId="0" fontId="3" fillId="0" borderId="3" xfId="0" applyFont="true" applyFill="true" applyBorder="true" applyAlignment="true">
      <alignment horizontal="left" vertical="center"/>
    </xf>
    <xf numFmtId="0" fontId="1" fillId="4" borderId="3" xfId="0" applyFont="true" applyFill="true" applyBorder="true" applyAlignment="true">
      <alignment horizontal="left" vertical="center"/>
    </xf>
    <xf numFmtId="0" fontId="1" fillId="2" borderId="5" xfId="0" applyFont="true" applyFill="true" applyBorder="true" applyAlignment="true">
      <alignment horizontal="center"/>
    </xf>
    <xf numFmtId="0" fontId="1" fillId="5" borderId="3" xfId="0" applyFont="true" applyFill="true" applyBorder="true" applyAlignment="true">
      <alignment horizontal="left" vertical="center"/>
    </xf>
    <xf numFmtId="0" fontId="1" fillId="6" borderId="3" xfId="0" applyFont="true" applyFill="true" applyBorder="true" applyAlignment="true">
      <alignment horizontal="left" vertical="center"/>
    </xf>
    <xf numFmtId="0" fontId="0" fillId="7" borderId="3" xfId="0" applyFill="true" applyBorder="true" applyAlignment="true">
      <alignment horizontal="left"/>
    </xf>
    <xf numFmtId="0" fontId="0" fillId="8" borderId="3" xfId="0" applyFill="true" applyBorder="true" applyAlignment="true">
      <alignment horizontal="left"/>
    </xf>
    <xf numFmtId="0" fontId="1" fillId="9" borderId="3" xfId="0" applyFont="true" applyFill="true" applyBorder="true" applyAlignment="true">
      <alignment horizontal="left" vertical="center"/>
    </xf>
    <xf numFmtId="0" fontId="1" fillId="10" borderId="3" xfId="0" applyFont="true" applyFill="true" applyBorder="true" applyAlignment="true">
      <alignment horizontal="left" vertical="center"/>
    </xf>
    <xf numFmtId="0" fontId="0" fillId="11" borderId="3" xfId="0" applyFill="true" applyBorder="true" applyAlignment="true"/>
    <xf numFmtId="0" fontId="1" fillId="2" borderId="6" xfId="0" applyFont="true" applyFill="true" applyBorder="true" applyAlignment="true">
      <alignment horizontal="center"/>
    </xf>
    <xf numFmtId="0" fontId="0" fillId="0" borderId="0" xfId="0" applyFont="true" applyFill="true" applyAlignment="true">
      <alignment horizontal="left" vertical="center"/>
    </xf>
    <xf numFmtId="0" fontId="1" fillId="0" borderId="0" xfId="0" applyNumberFormat="true" applyFont="true" applyFill="true" applyBorder="true" applyAlignment="true" applyProtection="true">
      <alignment horizontal="left" vertical="center"/>
    </xf>
    <xf numFmtId="0" fontId="0" fillId="0" borderId="0" xfId="0" applyNumberFormat="true" applyFont="true" applyFill="true" applyBorder="true" applyAlignment="true" applyProtection="true">
      <alignment horizontal="left" vertical="center"/>
    </xf>
    <xf numFmtId="0" fontId="0" fillId="0" borderId="3" xfId="0" applyFont="true" applyFill="true" applyBorder="true" applyAlignment="true">
      <alignment horizontal="left" vertical="center"/>
    </xf>
    <xf numFmtId="0" fontId="4" fillId="12" borderId="3" xfId="1" applyFont="true" applyFill="true" applyBorder="true" applyAlignment="true"/>
    <xf numFmtId="0" fontId="4" fillId="13" borderId="3" xfId="1" applyFont="true" applyFill="true" applyBorder="true" applyAlignment="true"/>
    <xf numFmtId="0" fontId="5" fillId="13" borderId="3" xfId="0" applyFont="true" applyFill="true" applyBorder="true" applyAlignment="true"/>
    <xf numFmtId="0" fontId="4" fillId="14" borderId="3" xfId="1" applyFont="true" applyFill="true" applyBorder="true" applyAlignment="true"/>
    <xf numFmtId="0" fontId="0" fillId="14" borderId="3" xfId="0" applyFont="true" applyFill="true" applyBorder="true" applyAlignment="true">
      <alignment horizontal="left" vertical="center"/>
    </xf>
    <xf numFmtId="0" fontId="0" fillId="14" borderId="3" xfId="0" applyFill="true" applyBorder="true" applyAlignment="true"/>
    <xf numFmtId="0" fontId="5" fillId="0" borderId="3" xfId="0" applyFont="true" applyBorder="true" applyAlignment="true"/>
    <xf numFmtId="0" fontId="0" fillId="0" borderId="4" xfId="0" applyFont="true" applyFill="true" applyBorder="true" applyAlignment="true">
      <alignment horizontal="left" vertical="center"/>
    </xf>
    <xf numFmtId="0" fontId="5" fillId="0" borderId="3" xfId="1" applyFont="true" applyFill="true" applyBorder="true" applyAlignment="true">
      <alignment horizontal="left" vertical="center"/>
    </xf>
    <xf numFmtId="0" fontId="0" fillId="0" borderId="3" xfId="0" applyNumberFormat="true" applyBorder="true" applyAlignment="true"/>
    <xf numFmtId="0" fontId="6" fillId="0" borderId="3" xfId="0" applyFont="true" applyFill="true" applyBorder="true" applyAlignment="true">
      <alignment vertical="center"/>
    </xf>
    <xf numFmtId="0" fontId="0" fillId="0" borderId="0" xfId="0" applyNumberFormat="true" applyFont="true" applyFill="true" applyAlignment="true" applyProtection="true">
      <alignment horizontal="left" vertical="center"/>
    </xf>
    <xf numFmtId="0" fontId="0" fillId="0" borderId="0" xfId="0" applyAlignment="true">
      <alignment horizontal="left" vertical="center"/>
    </xf>
    <xf numFmtId="0" fontId="0" fillId="14" borderId="0" xfId="0" applyFont="true" applyFill="true" applyAlignment="true">
      <alignment horizontal="left" vertical="center" wrapText="true"/>
    </xf>
    <xf numFmtId="0" fontId="0" fillId="0" borderId="3" xfId="0" applyBorder="true" applyAlignment="true">
      <alignment horizontal="left" vertical="center"/>
    </xf>
    <xf numFmtId="0" fontId="0" fillId="0" borderId="0" xfId="0" applyBorder="true" applyAlignment="true">
      <alignment horizontal="left" vertical="center"/>
    </xf>
    <xf numFmtId="0" fontId="0" fillId="15" borderId="3" xfId="0" applyFont="true" applyFill="true" applyBorder="true" applyAlignment="true">
      <alignment horizontal="left" vertical="center"/>
    </xf>
    <xf numFmtId="0" fontId="6" fillId="0" borderId="3" xfId="0" applyFont="true" applyBorder="true" applyAlignment="true">
      <alignment vertical="center"/>
    </xf>
    <xf numFmtId="0" fontId="6" fillId="14" borderId="3" xfId="0" applyFont="true" applyFill="true" applyBorder="true" applyAlignment="true">
      <alignment vertical="center"/>
    </xf>
    <xf numFmtId="0" fontId="7" fillId="0" borderId="0" xfId="0" applyFont="true" applyFill="true" applyAlignment="true">
      <alignment vertical="center"/>
    </xf>
    <xf numFmtId="0" fontId="6" fillId="0" borderId="3" xfId="0" applyFont="true" applyBorder="true" applyAlignment="true"/>
    <xf numFmtId="0" fontId="8" fillId="0" borderId="3" xfId="0" applyFont="true" applyFill="true" applyBorder="true" applyAlignment="true">
      <alignment vertical="center"/>
    </xf>
    <xf numFmtId="0" fontId="6" fillId="15" borderId="3" xfId="0" applyFont="true" applyFill="true" applyBorder="true" applyAlignment="true"/>
    <xf numFmtId="0" fontId="0" fillId="16" borderId="3" xfId="0" applyFill="true" applyBorder="true" applyAlignment="true">
      <alignment horizontal="left" vertical="center"/>
    </xf>
    <xf numFmtId="0" fontId="0" fillId="16" borderId="3" xfId="0" applyFont="true" applyFill="true" applyBorder="true" applyAlignment="true">
      <alignment horizontal="left" vertical="center"/>
    </xf>
    <xf numFmtId="0" fontId="0" fillId="16" borderId="3" xfId="0" applyFont="true" applyFill="true" applyBorder="true" applyAlignment="true">
      <alignment horizontal="left" vertical="center" wrapText="true"/>
    </xf>
    <xf numFmtId="0" fontId="0" fillId="17" borderId="3" xfId="0" applyFill="true" applyBorder="true" applyAlignment="true">
      <alignment horizontal="left" vertical="center"/>
    </xf>
    <xf numFmtId="0" fontId="9" fillId="0" borderId="3" xfId="0" applyFont="true" applyFill="true" applyBorder="true" applyAlignment="true">
      <alignment horizontal="left" vertical="center" wrapText="true"/>
    </xf>
    <xf numFmtId="49" fontId="0" fillId="0" borderId="3" xfId="0" applyNumberFormat="true" applyBorder="true" applyAlignment="true">
      <alignment horizontal="left" vertical="center"/>
    </xf>
    <xf numFmtId="0" fontId="10" fillId="0" borderId="0" xfId="0" applyFont="true" applyAlignment="true">
      <alignment horizontal="left" vertical="center"/>
    </xf>
    <xf numFmtId="0" fontId="9" fillId="0" borderId="3" xfId="0" applyFont="true" applyFill="true" applyBorder="true" applyAlignment="true">
      <alignment horizontal="left" vertical="center"/>
    </xf>
    <xf numFmtId="0" fontId="0" fillId="0" borderId="3" xfId="0" applyFill="true" applyBorder="true" applyAlignment="true">
      <alignment horizontal="left" vertical="center"/>
    </xf>
    <xf numFmtId="0" fontId="0" fillId="2" borderId="3" xfId="0" applyFill="true" applyBorder="true" applyAlignment="true">
      <alignment horizontal="left" vertical="center"/>
    </xf>
    <xf numFmtId="0" fontId="11" fillId="0" borderId="3" xfId="0" applyFont="true" applyFill="true" applyBorder="true" applyAlignment="true">
      <alignment horizontal="left" vertical="center"/>
    </xf>
    <xf numFmtId="0" fontId="0" fillId="14" borderId="3" xfId="0" applyFont="true" applyFill="true" applyBorder="true" applyAlignment="true">
      <alignment horizontal="left" vertical="center" wrapText="true"/>
    </xf>
    <xf numFmtId="0" fontId="0" fillId="14" borderId="3" xfId="0" applyFill="true" applyBorder="true" applyAlignment="true">
      <alignment horizontal="left" vertical="center"/>
    </xf>
    <xf numFmtId="0" fontId="12" fillId="0" borderId="3" xfId="2" applyFont="true" applyFill="true" applyBorder="true" applyAlignment="true"/>
    <xf numFmtId="0" fontId="13" fillId="0" borderId="3" xfId="2" applyFont="true" applyFill="true" applyBorder="true" applyAlignment="true"/>
    <xf numFmtId="0" fontId="14" fillId="18" borderId="3" xfId="0" applyFont="true" applyFill="true" applyBorder="true" applyAlignment="true">
      <alignment horizontal="left" vertical="center" wrapText="true"/>
    </xf>
    <xf numFmtId="0" fontId="0" fillId="0" borderId="3" xfId="0" applyBorder="true" applyAlignment="true">
      <alignment horizontal="center" vertical="center"/>
    </xf>
    <xf numFmtId="0" fontId="0" fillId="18" borderId="3" xfId="0" applyFill="true" applyBorder="true" applyAlignment="true">
      <alignment horizontal="center" vertical="center"/>
    </xf>
    <xf numFmtId="0" fontId="0" fillId="18" borderId="3" xfId="0" applyFill="true" applyBorder="true" applyAlignment="true">
      <alignment horizontal="left" vertical="center"/>
    </xf>
    <xf numFmtId="0" fontId="11" fillId="0" borderId="3" xfId="0" applyFont="true" applyBorder="true" applyAlignment="true">
      <alignment horizontal="left" vertical="center" wrapText="true"/>
    </xf>
    <xf numFmtId="0" fontId="11" fillId="0" borderId="3" xfId="0" applyFont="true" applyBorder="true" applyAlignment="true">
      <alignment horizontal="left" vertical="center"/>
    </xf>
    <xf numFmtId="0" fontId="6" fillId="14" borderId="6" xfId="0" applyFont="true" applyFill="true" applyBorder="true" applyAlignment="true"/>
    <xf numFmtId="0" fontId="6" fillId="14" borderId="3" xfId="0" applyFont="true" applyFill="true" applyBorder="true" applyAlignment="true">
      <alignment wrapText="true"/>
    </xf>
    <xf numFmtId="0" fontId="0" fillId="19" borderId="3" xfId="0" applyFill="true" applyBorder="true" applyAlignment="true">
      <alignment horizontal="left" vertical="center"/>
    </xf>
    <xf numFmtId="0" fontId="0" fillId="19" borderId="3" xfId="0" applyFill="true" applyBorder="true" applyAlignment="true">
      <alignment horizontal="left" vertical="center" wrapText="true"/>
    </xf>
    <xf numFmtId="49" fontId="13" fillId="0" borderId="3" xfId="2" applyNumberFormat="true" applyFont="true" applyFill="true" applyBorder="true" applyAlignment="true"/>
    <xf numFmtId="0" fontId="0" fillId="0" borderId="0" xfId="0" applyAlignment="true">
      <alignment horizontal="left" vertical="center" wrapText="true"/>
    </xf>
    <xf numFmtId="0" fontId="15" fillId="0" borderId="0" xfId="43" applyAlignment="true"/>
    <xf numFmtId="0" fontId="16" fillId="0" borderId="0" xfId="43" applyFont="true" applyAlignment="true"/>
  </cellXfs>
  <cellStyles count="51">
    <cellStyle name="常规" xfId="0" builtinId="0"/>
    <cellStyle name="常规 6 2" xfId="1"/>
    <cellStyle name="Normal" xfId="2"/>
    <cellStyle name="60% - 强调文字颜色 6" xfId="3" builtinId="52"/>
    <cellStyle name="20% - 强调文字颜色 4" xfId="4" builtinId="42"/>
    <cellStyle name="强调文字颜色 4" xfId="5" builtinId="41"/>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tableStyles count="0" defaultTableStyle="TableStyleMedium9" defaultPivotStyle="PivotStyleLight16"/>
  <colors>
    <mruColors>
      <color rgb="00C6DBFA"/>
      <color rgb="00689FFF"/>
      <color rgb="00530AFF"/>
      <color rgb="000128FF"/>
      <color rgb="00168EFF"/>
      <color rgb="0040EFA2"/>
      <color rgb="00BAE300"/>
      <color rgb="0039D1F1"/>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7" Type="http://schemas.openxmlformats.org/officeDocument/2006/relationships/image" Target="../media/image11.png"/><Relationship Id="rId6" Type="http://schemas.openxmlformats.org/officeDocument/2006/relationships/image" Target="NULL" TargetMode="External"/><Relationship Id="rId5" Type="http://schemas.openxmlformats.org/officeDocument/2006/relationships/image" Target="../media/image10.jpeg"/><Relationship Id="rId4" Type="http://schemas.openxmlformats.org/officeDocument/2006/relationships/image" Target="../media/image9.wmf"/><Relationship Id="rId3" Type="http://schemas.openxmlformats.org/officeDocument/2006/relationships/image" Target="../media/image8.wmf"/><Relationship Id="rId2" Type="http://schemas.openxmlformats.org/officeDocument/2006/relationships/image" Target="../media/image7.wmf"/><Relationship Id="rId1" Type="http://schemas.openxmlformats.org/officeDocument/2006/relationships/image" Target="../media/image6.wmf"/></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1238250</xdr:colOff>
      <xdr:row>10</xdr:row>
      <xdr:rowOff>38100</xdr:rowOff>
    </xdr:from>
    <xdr:to>
      <xdr:col>11</xdr:col>
      <xdr:colOff>542925</xdr:colOff>
      <xdr:row>17</xdr:row>
      <xdr:rowOff>504825</xdr:rowOff>
    </xdr:to>
    <xdr:pic>
      <xdr:nvPicPr>
        <xdr:cNvPr id="3" name="图片 2"/>
        <xdr:cNvPicPr>
          <a:picLocks noChangeAspect="true"/>
        </xdr:cNvPicPr>
      </xdr:nvPicPr>
      <xdr:blipFill>
        <a:blip r:embed="rId1"/>
        <a:stretch>
          <a:fillRect/>
        </a:stretch>
      </xdr:blipFill>
      <xdr:spPr>
        <a:xfrm>
          <a:off x="13565505" y="3181350"/>
          <a:ext cx="1933575" cy="2066925"/>
        </a:xfrm>
        <a:prstGeom prst="rect">
          <a:avLst/>
        </a:prstGeom>
        <a:noFill/>
        <a:ln w="9525">
          <a:noFill/>
        </a:ln>
      </xdr:spPr>
    </xdr:pic>
    <xdr:clientData/>
  </xdr:twoCellAnchor>
  <xdr:twoCellAnchor editAs="oneCell">
    <xdr:from>
      <xdr:col>0</xdr:col>
      <xdr:colOff>285750</xdr:colOff>
      <xdr:row>9</xdr:row>
      <xdr:rowOff>466725</xdr:rowOff>
    </xdr:from>
    <xdr:to>
      <xdr:col>2</xdr:col>
      <xdr:colOff>845185</xdr:colOff>
      <xdr:row>17</xdr:row>
      <xdr:rowOff>181610</xdr:rowOff>
    </xdr:to>
    <xdr:pic>
      <xdr:nvPicPr>
        <xdr:cNvPr id="2" name="图片 1"/>
        <xdr:cNvPicPr>
          <a:picLocks noChangeAspect="true"/>
        </xdr:cNvPicPr>
      </xdr:nvPicPr>
      <xdr:blipFill>
        <a:blip r:embed="rId2"/>
        <a:stretch>
          <a:fillRect/>
        </a:stretch>
      </xdr:blipFill>
      <xdr:spPr>
        <a:xfrm>
          <a:off x="285750" y="2409825"/>
          <a:ext cx="2521585" cy="2515235"/>
        </a:xfrm>
        <a:prstGeom prst="rect">
          <a:avLst/>
        </a:prstGeom>
        <a:noFill/>
        <a:ln w="9525">
          <a:noFill/>
        </a:ln>
      </xdr:spPr>
    </xdr:pic>
    <xdr:clientData/>
  </xdr:twoCellAnchor>
  <xdr:twoCellAnchor editAs="oneCell">
    <xdr:from>
      <xdr:col>9</xdr:col>
      <xdr:colOff>291465</xdr:colOff>
      <xdr:row>17</xdr:row>
      <xdr:rowOff>437515</xdr:rowOff>
    </xdr:from>
    <xdr:to>
      <xdr:col>13</xdr:col>
      <xdr:colOff>381000</xdr:colOff>
      <xdr:row>33</xdr:row>
      <xdr:rowOff>209550</xdr:rowOff>
    </xdr:to>
    <xdr:pic>
      <xdr:nvPicPr>
        <xdr:cNvPr id="4" name="图片 3"/>
        <xdr:cNvPicPr>
          <a:picLocks noChangeAspect="true"/>
        </xdr:cNvPicPr>
      </xdr:nvPicPr>
      <xdr:blipFill>
        <a:blip r:embed="rId3"/>
        <a:stretch>
          <a:fillRect/>
        </a:stretch>
      </xdr:blipFill>
      <xdr:spPr>
        <a:xfrm>
          <a:off x="13876020" y="5180965"/>
          <a:ext cx="2832735" cy="357251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1798955</xdr:colOff>
      <xdr:row>12</xdr:row>
      <xdr:rowOff>142240</xdr:rowOff>
    </xdr:from>
    <xdr:to>
      <xdr:col>13</xdr:col>
      <xdr:colOff>377190</xdr:colOff>
      <xdr:row>39</xdr:row>
      <xdr:rowOff>9525</xdr:rowOff>
    </xdr:to>
    <xdr:pic>
      <xdr:nvPicPr>
        <xdr:cNvPr id="2" name="图片 1"/>
        <xdr:cNvPicPr>
          <a:picLocks noChangeAspect="true"/>
        </xdr:cNvPicPr>
      </xdr:nvPicPr>
      <xdr:blipFill>
        <a:blip r:embed="rId1"/>
        <a:stretch>
          <a:fillRect/>
        </a:stretch>
      </xdr:blipFill>
      <xdr:spPr>
        <a:xfrm>
          <a:off x="11884025" y="2866390"/>
          <a:ext cx="4605655" cy="526796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121920</xdr:colOff>
      <xdr:row>0</xdr:row>
      <xdr:rowOff>76200</xdr:rowOff>
    </xdr:from>
    <xdr:to>
      <xdr:col>1</xdr:col>
      <xdr:colOff>531495</xdr:colOff>
      <xdr:row>8</xdr:row>
      <xdr:rowOff>114300</xdr:rowOff>
    </xdr:to>
    <xdr:pic>
      <xdr:nvPicPr>
        <xdr:cNvPr id="2" name="图片 1"/>
        <xdr:cNvPicPr>
          <a:picLocks noChangeAspect="true"/>
        </xdr:cNvPicPr>
      </xdr:nvPicPr>
      <xdr:blipFill>
        <a:blip r:embed="rId1"/>
        <a:stretch>
          <a:fillRect/>
        </a:stretch>
      </xdr:blipFill>
      <xdr:spPr>
        <a:xfrm>
          <a:off x="121920" y="76200"/>
          <a:ext cx="1095375" cy="1638300"/>
        </a:xfrm>
        <a:prstGeom prst="rect">
          <a:avLst/>
        </a:prstGeom>
        <a:noFill/>
        <a:ln w="9525">
          <a:noFill/>
        </a:ln>
      </xdr:spPr>
    </xdr:pic>
    <xdr:clientData/>
  </xdr:twoCellAnchor>
  <xdr:twoCellAnchor editAs="oneCell">
    <xdr:from>
      <xdr:col>3</xdr:col>
      <xdr:colOff>22860</xdr:colOff>
      <xdr:row>0</xdr:row>
      <xdr:rowOff>83820</xdr:rowOff>
    </xdr:from>
    <xdr:to>
      <xdr:col>4</xdr:col>
      <xdr:colOff>661035</xdr:colOff>
      <xdr:row>8</xdr:row>
      <xdr:rowOff>131445</xdr:rowOff>
    </xdr:to>
    <xdr:pic>
      <xdr:nvPicPr>
        <xdr:cNvPr id="3" name="图片 2"/>
        <xdr:cNvPicPr>
          <a:picLocks noChangeAspect="true"/>
        </xdr:cNvPicPr>
      </xdr:nvPicPr>
      <xdr:blipFill>
        <a:blip r:embed="rId2"/>
        <a:stretch>
          <a:fillRect/>
        </a:stretch>
      </xdr:blipFill>
      <xdr:spPr>
        <a:xfrm>
          <a:off x="1577340" y="83820"/>
          <a:ext cx="1323975" cy="1647825"/>
        </a:xfrm>
        <a:prstGeom prst="rect">
          <a:avLst/>
        </a:prstGeom>
        <a:noFill/>
        <a:ln w="9525">
          <a:noFill/>
        </a:ln>
      </xdr:spPr>
    </xdr:pic>
    <xdr:clientData/>
  </xdr:twoCellAnchor>
  <xdr:twoCellAnchor editAs="oneCell">
    <xdr:from>
      <xdr:col>0</xdr:col>
      <xdr:colOff>76200</xdr:colOff>
      <xdr:row>10</xdr:row>
      <xdr:rowOff>76200</xdr:rowOff>
    </xdr:from>
    <xdr:to>
      <xdr:col>1</xdr:col>
      <xdr:colOff>561975</xdr:colOff>
      <xdr:row>18</xdr:row>
      <xdr:rowOff>76200</xdr:rowOff>
    </xdr:to>
    <xdr:pic>
      <xdr:nvPicPr>
        <xdr:cNvPr id="4" name="图片 3"/>
        <xdr:cNvPicPr>
          <a:picLocks noChangeAspect="true"/>
        </xdr:cNvPicPr>
      </xdr:nvPicPr>
      <xdr:blipFill>
        <a:blip r:embed="rId3"/>
        <a:stretch>
          <a:fillRect/>
        </a:stretch>
      </xdr:blipFill>
      <xdr:spPr>
        <a:xfrm>
          <a:off x="76200" y="2076450"/>
          <a:ext cx="1171575" cy="1600200"/>
        </a:xfrm>
        <a:prstGeom prst="rect">
          <a:avLst/>
        </a:prstGeom>
        <a:noFill/>
        <a:ln w="9525">
          <a:noFill/>
        </a:ln>
      </xdr:spPr>
    </xdr:pic>
    <xdr:clientData/>
  </xdr:twoCellAnchor>
  <xdr:twoCellAnchor editAs="oneCell">
    <xdr:from>
      <xdr:col>2</xdr:col>
      <xdr:colOff>327660</xdr:colOff>
      <xdr:row>10</xdr:row>
      <xdr:rowOff>60960</xdr:rowOff>
    </xdr:from>
    <xdr:to>
      <xdr:col>4</xdr:col>
      <xdr:colOff>495300</xdr:colOff>
      <xdr:row>18</xdr:row>
      <xdr:rowOff>32385</xdr:rowOff>
    </xdr:to>
    <xdr:pic>
      <xdr:nvPicPr>
        <xdr:cNvPr id="5" name="图片 4"/>
        <xdr:cNvPicPr>
          <a:picLocks noChangeAspect="true"/>
        </xdr:cNvPicPr>
      </xdr:nvPicPr>
      <xdr:blipFill>
        <a:blip r:embed="rId4"/>
        <a:stretch>
          <a:fillRect/>
        </a:stretch>
      </xdr:blipFill>
      <xdr:spPr>
        <a:xfrm>
          <a:off x="1554480" y="2061210"/>
          <a:ext cx="1181100" cy="1571625"/>
        </a:xfrm>
        <a:prstGeom prst="rect">
          <a:avLst/>
        </a:prstGeom>
        <a:noFill/>
        <a:ln w="9525">
          <a:noFill/>
        </a:ln>
      </xdr:spPr>
    </xdr:pic>
    <xdr:clientData/>
  </xdr:twoCellAnchor>
  <xdr:twoCellAnchor editAs="oneCell">
    <xdr:from>
      <xdr:col>0</xdr:col>
      <xdr:colOff>0</xdr:colOff>
      <xdr:row>22</xdr:row>
      <xdr:rowOff>0</xdr:rowOff>
    </xdr:from>
    <xdr:to>
      <xdr:col>6</xdr:col>
      <xdr:colOff>571500</xdr:colOff>
      <xdr:row>33</xdr:row>
      <xdr:rowOff>40005</xdr:rowOff>
    </xdr:to>
    <xdr:pic>
      <xdr:nvPicPr>
        <xdr:cNvPr id="6" name="图片 5"/>
        <xdr:cNvPicPr>
          <a:picLocks noChangeAspect="true"/>
        </xdr:cNvPicPr>
      </xdr:nvPicPr>
      <xdr:blipFill>
        <a:blip r:embed="rId5" r:link="rId6"/>
        <a:stretch>
          <a:fillRect/>
        </a:stretch>
      </xdr:blipFill>
      <xdr:spPr>
        <a:xfrm>
          <a:off x="0" y="4400550"/>
          <a:ext cx="3771900" cy="2240280"/>
        </a:xfrm>
        <a:prstGeom prst="rect">
          <a:avLst/>
        </a:prstGeom>
        <a:noFill/>
        <a:ln w="9525">
          <a:noFill/>
        </a:ln>
      </xdr:spPr>
    </xdr:pic>
    <xdr:clientData/>
  </xdr:twoCellAnchor>
  <xdr:twoCellAnchor editAs="oneCell">
    <xdr:from>
      <xdr:col>5</xdr:col>
      <xdr:colOff>129540</xdr:colOff>
      <xdr:row>9</xdr:row>
      <xdr:rowOff>169545</xdr:rowOff>
    </xdr:from>
    <xdr:to>
      <xdr:col>6</xdr:col>
      <xdr:colOff>982345</xdr:colOff>
      <xdr:row>20</xdr:row>
      <xdr:rowOff>23495</xdr:rowOff>
    </xdr:to>
    <xdr:pic>
      <xdr:nvPicPr>
        <xdr:cNvPr id="7" name="图片 6"/>
        <xdr:cNvPicPr>
          <a:picLocks noChangeAspect="true"/>
        </xdr:cNvPicPr>
      </xdr:nvPicPr>
      <xdr:blipFill>
        <a:blip r:embed="rId7"/>
        <a:stretch>
          <a:fillRect/>
        </a:stretch>
      </xdr:blipFill>
      <xdr:spPr>
        <a:xfrm>
          <a:off x="3055620" y="1969770"/>
          <a:ext cx="1127125" cy="205422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533400</xdr:colOff>
      <xdr:row>2</xdr:row>
      <xdr:rowOff>133350</xdr:rowOff>
    </xdr:from>
    <xdr:to>
      <xdr:col>12</xdr:col>
      <xdr:colOff>133350</xdr:colOff>
      <xdr:row>15</xdr:row>
      <xdr:rowOff>192405</xdr:rowOff>
    </xdr:to>
    <xdr:pic>
      <xdr:nvPicPr>
        <xdr:cNvPr id="2" name="pic"/>
        <xdr:cNvPicPr>
          <a:picLocks noChangeAspect="true"/>
        </xdr:cNvPicPr>
      </xdr:nvPicPr>
      <xdr:blipFill>
        <a:blip r:embed="rId1">
          <a:extLst>
            <a:ext uri="{28A0092B-C50C-407E-A947-70E740481C1C}">
              <a14:useLocalDpi xmlns:a14="http://schemas.microsoft.com/office/drawing/2010/main" val="false"/>
            </a:ext>
          </a:extLst>
        </a:blip>
        <a:srcRect/>
        <a:stretch>
          <a:fillRect/>
        </a:stretch>
      </xdr:blipFill>
      <xdr:spPr>
        <a:xfrm>
          <a:off x="533400" y="533400"/>
          <a:ext cx="7829550" cy="265938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466725</xdr:colOff>
      <xdr:row>0</xdr:row>
      <xdr:rowOff>635</xdr:rowOff>
    </xdr:from>
    <xdr:to>
      <xdr:col>11</xdr:col>
      <xdr:colOff>148590</xdr:colOff>
      <xdr:row>39</xdr:row>
      <xdr:rowOff>59055</xdr:rowOff>
    </xdr:to>
    <xdr:pic>
      <xdr:nvPicPr>
        <xdr:cNvPr id="2" name="pic"/>
        <xdr:cNvPicPr>
          <a:picLocks noChangeAspect="true"/>
        </xdr:cNvPicPr>
      </xdr:nvPicPr>
      <xdr:blipFill>
        <a:blip r:embed="rId1">
          <a:extLst>
            <a:ext uri="{28A0092B-C50C-407E-A947-70E740481C1C}">
              <a14:useLocalDpi xmlns:a14="http://schemas.microsoft.com/office/drawing/2010/main" val="false"/>
            </a:ext>
          </a:extLst>
        </a:blip>
        <a:srcRect/>
        <a:stretch>
          <a:fillRect/>
        </a:stretch>
      </xdr:blipFill>
      <xdr:spPr>
        <a:xfrm>
          <a:off x="1152525" y="635"/>
          <a:ext cx="6539865" cy="7859395"/>
        </a:xfrm>
        <a:prstGeom prst="rect">
          <a:avLst/>
        </a:prstGeom>
      </xdr:spPr>
    </xdr:pic>
    <xdr:clientData/>
  </xdr:twoCellAnchor>
</xdr:wsDr>
</file>

<file path=xl/theme/theme1.xml><?xml version="1.0" encoding="utf-8"?>
<a:theme xmlns:a="http://schemas.openxmlformats.org/drawingml/2006/main" name="Office 主题​​">
  <a:themeElements>
    <a:clrScheme name="中兴品牌色彩体系">
      <a:dk1>
        <a:srgbClr val="008ED3"/>
      </a:dk1>
      <a:lt1>
        <a:srgbClr val="FFFFFF"/>
      </a:lt1>
      <a:dk2>
        <a:srgbClr val="0067B4"/>
      </a:dk2>
      <a:lt2>
        <a:srgbClr val="58595B"/>
      </a:lt2>
      <a:accent1>
        <a:srgbClr val="FFDE40"/>
      </a:accent1>
      <a:accent2>
        <a:srgbClr val="61CCF0"/>
      </a:accent2>
      <a:accent3>
        <a:srgbClr val="EE3D8A"/>
      </a:accent3>
      <a:accent4>
        <a:srgbClr val="922990"/>
      </a:accent4>
      <a:accent5>
        <a:srgbClr val="8DC642"/>
      </a:accent5>
      <a:accent6>
        <a:srgbClr val="58595B"/>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false">
          <a:gsLst>
            <a:gs pos="100000">
              <a:srgbClr val="9CBEE0"/>
            </a:gs>
            <a:gs pos="0">
              <a:srgbClr val="BBD5F0"/>
            </a:gs>
          </a:gsLst>
          <a:lin ang="5400000" scaled="false"/>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
  <sheetViews>
    <sheetView workbookViewId="0">
      <selection activeCell="F12" sqref="F12"/>
    </sheetView>
  </sheetViews>
  <sheetFormatPr defaultColWidth="9" defaultRowHeight="15.75" outlineLevelCol="5"/>
  <cols>
    <col min="2" max="2" width="24.6" customWidth="true"/>
    <col min="3" max="3" width="34" customWidth="true"/>
    <col min="6" max="6" width="30.75" customWidth="true"/>
  </cols>
  <sheetData>
    <row r="1" spans="6:6">
      <c r="F1" t="s">
        <v>0</v>
      </c>
    </row>
    <row r="2" spans="2:6">
      <c r="B2" s="74" t="str">
        <f>HYPERLINK("#前端界面说明!A1","前端界面说明")</f>
        <v>前端界面说明</v>
      </c>
      <c r="F2" t="s">
        <v>1</v>
      </c>
    </row>
    <row r="3" spans="2:6">
      <c r="B3" s="74" t="str">
        <f>HYPERLINK("#业务配置!A1","业务配置")</f>
        <v>业务配置</v>
      </c>
      <c r="F3" t="s">
        <v>2</v>
      </c>
    </row>
    <row r="4" spans="2:6">
      <c r="B4" s="75"/>
      <c r="F4" t="s">
        <v>3</v>
      </c>
    </row>
    <row r="5" spans="6:6">
      <c r="F5" t="s">
        <v>4</v>
      </c>
    </row>
    <row r="6" spans="6:6">
      <c r="F6" t="s">
        <v>5</v>
      </c>
    </row>
    <row r="7" spans="6:6">
      <c r="F7" t="s">
        <v>6</v>
      </c>
    </row>
    <row r="8" spans="6:6">
      <c r="F8" t="s">
        <v>7</v>
      </c>
    </row>
    <row r="9" spans="6:6">
      <c r="F9" t="s">
        <v>8</v>
      </c>
    </row>
    <row r="10" spans="6:6">
      <c r="F10" t="s">
        <v>9</v>
      </c>
    </row>
    <row r="11" spans="6:6">
      <c r="F11" t="s">
        <v>10</v>
      </c>
    </row>
    <row r="12" spans="6:6">
      <c r="F12" t="s">
        <v>11</v>
      </c>
    </row>
    <row r="13" spans="6:6">
      <c r="F13" t="s">
        <v>12</v>
      </c>
    </row>
  </sheetData>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2:K44"/>
  <sheetViews>
    <sheetView topLeftCell="A5" workbookViewId="0">
      <selection activeCell="H18" sqref="H18"/>
    </sheetView>
  </sheetViews>
  <sheetFormatPr defaultColWidth="9" defaultRowHeight="15.75"/>
  <cols>
    <col min="1" max="1" width="9" style="36"/>
    <col min="2" max="2" width="16.75" style="36" customWidth="true"/>
    <col min="3" max="3" width="12.25" style="36" customWidth="true"/>
    <col min="4" max="4" width="28.9" style="36" customWidth="true"/>
    <col min="5" max="5" width="11.9" style="36" customWidth="true"/>
    <col min="6" max="6" width="49.4" style="36" customWidth="true"/>
    <col min="7" max="7" width="23.2" style="36" customWidth="true"/>
    <col min="8" max="8" width="10.375" style="36"/>
    <col min="9" max="9" width="16.5" style="36" customWidth="true"/>
    <col min="10" max="16384" width="9" style="36"/>
  </cols>
  <sheetData>
    <row r="2" spans="2:9">
      <c r="B2" s="56" t="s">
        <v>13</v>
      </c>
      <c r="C2" s="56" t="s">
        <v>14</v>
      </c>
      <c r="D2" s="56" t="s">
        <v>15</v>
      </c>
      <c r="E2" s="56"/>
      <c r="F2" s="56" t="s">
        <v>16</v>
      </c>
      <c r="G2" s="56" t="s">
        <v>17</v>
      </c>
      <c r="H2" s="56" t="s">
        <v>18</v>
      </c>
      <c r="I2" s="56" t="s">
        <v>19</v>
      </c>
    </row>
    <row r="3" ht="27" spans="2:9">
      <c r="B3" s="38" t="s">
        <v>20</v>
      </c>
      <c r="C3" s="38" t="s">
        <v>20</v>
      </c>
      <c r="D3" s="57" t="s">
        <v>21</v>
      </c>
      <c r="E3" s="57"/>
      <c r="F3" s="66" t="s">
        <v>22</v>
      </c>
      <c r="G3" s="38"/>
      <c r="H3" s="38"/>
      <c r="I3" s="38"/>
    </row>
    <row r="4" spans="2:9">
      <c r="B4" s="38" t="s">
        <v>23</v>
      </c>
      <c r="C4" s="38"/>
      <c r="D4" s="57" t="s">
        <v>24</v>
      </c>
      <c r="E4" s="57"/>
      <c r="F4" s="67"/>
      <c r="G4" s="38"/>
      <c r="H4" s="38"/>
      <c r="I4" s="38" t="s">
        <v>25</v>
      </c>
    </row>
    <row r="5" spans="2:9">
      <c r="B5" s="38"/>
      <c r="C5" s="38"/>
      <c r="D5" s="57" t="s">
        <v>26</v>
      </c>
      <c r="E5" s="57"/>
      <c r="F5" s="67" t="s">
        <v>27</v>
      </c>
      <c r="G5" s="38"/>
      <c r="H5" s="38"/>
      <c r="I5" s="38"/>
    </row>
    <row r="7" spans="4:6">
      <c r="D7" s="58" t="s">
        <v>28</v>
      </c>
      <c r="E7" s="68"/>
      <c r="F7" s="69" t="s">
        <v>29</v>
      </c>
    </row>
    <row r="8" spans="4:6">
      <c r="D8" s="59"/>
      <c r="E8" s="68" t="s">
        <v>30</v>
      </c>
      <c r="F8" s="69" t="s">
        <v>31</v>
      </c>
    </row>
    <row r="9" spans="4:6">
      <c r="D9" s="59"/>
      <c r="E9" s="68" t="s">
        <v>32</v>
      </c>
      <c r="F9" s="69" t="s">
        <v>33</v>
      </c>
    </row>
    <row r="10" ht="94.5" spans="4:9">
      <c r="D10" s="59"/>
      <c r="E10" s="68" t="s">
        <v>34</v>
      </c>
      <c r="F10" s="69" t="s">
        <v>35</v>
      </c>
      <c r="I10" s="73" t="s">
        <v>36</v>
      </c>
    </row>
    <row r="11" spans="4:4">
      <c r="D11" s="59"/>
    </row>
    <row r="12" spans="4:6">
      <c r="D12" s="59"/>
      <c r="E12" s="68"/>
      <c r="F12" s="69" t="s">
        <v>37</v>
      </c>
    </row>
    <row r="13" spans="4:6">
      <c r="D13" s="59"/>
      <c r="E13" s="68" t="s">
        <v>30</v>
      </c>
      <c r="F13" s="69" t="s">
        <v>38</v>
      </c>
    </row>
    <row r="14" spans="4:6">
      <c r="D14" s="59"/>
      <c r="E14" s="68" t="s">
        <v>32</v>
      </c>
      <c r="F14" s="69" t="s">
        <v>39</v>
      </c>
    </row>
    <row r="15" ht="31.5" spans="4:9">
      <c r="D15" s="59"/>
      <c r="E15" s="68" t="s">
        <v>34</v>
      </c>
      <c r="F15" s="69" t="s">
        <v>40</v>
      </c>
      <c r="I15" s="36" t="s">
        <v>41</v>
      </c>
    </row>
    <row r="18" ht="63" spans="5:6">
      <c r="E18" s="70" t="s">
        <v>42</v>
      </c>
      <c r="F18" s="71" t="s">
        <v>43</v>
      </c>
    </row>
    <row r="20" spans="7:8">
      <c r="G20" s="36" t="s">
        <v>44</v>
      </c>
      <c r="H20" s="36" t="s">
        <v>45</v>
      </c>
    </row>
    <row r="21" spans="7:8">
      <c r="G21" s="36" t="s">
        <v>46</v>
      </c>
      <c r="H21" s="36" t="s">
        <v>47</v>
      </c>
    </row>
    <row r="27" spans="2:2">
      <c r="B27" s="36" t="s">
        <v>48</v>
      </c>
    </row>
    <row r="28" spans="2:11">
      <c r="B28" s="60" t="s">
        <v>49</v>
      </c>
      <c r="C28" s="60" t="s">
        <v>50</v>
      </c>
      <c r="D28" s="60" t="s">
        <v>51</v>
      </c>
      <c r="E28" s="60" t="s">
        <v>52</v>
      </c>
      <c r="F28" s="60" t="s">
        <v>53</v>
      </c>
      <c r="G28" s="60" t="s">
        <v>54</v>
      </c>
      <c r="H28" s="60" t="s">
        <v>55</v>
      </c>
      <c r="I28" s="60" t="s">
        <v>56</v>
      </c>
      <c r="J28" s="60" t="s">
        <v>57</v>
      </c>
      <c r="K28" s="60"/>
    </row>
    <row r="29" spans="2:11">
      <c r="B29" s="61"/>
      <c r="C29" s="61"/>
      <c r="D29" s="61" t="s">
        <v>58</v>
      </c>
      <c r="E29" s="72" t="s">
        <v>59</v>
      </c>
      <c r="F29" s="61" t="s">
        <v>60</v>
      </c>
      <c r="G29" s="60" t="s">
        <v>61</v>
      </c>
      <c r="H29" s="60" t="s">
        <v>62</v>
      </c>
      <c r="I29" s="61"/>
      <c r="J29" s="61"/>
      <c r="K29" s="61"/>
    </row>
    <row r="30" spans="2:11">
      <c r="B30" s="61"/>
      <c r="C30" s="61"/>
      <c r="D30" s="61"/>
      <c r="E30" s="61"/>
      <c r="F30" s="61"/>
      <c r="G30" s="61"/>
      <c r="H30" s="61"/>
      <c r="I30" s="61"/>
      <c r="J30" s="61"/>
      <c r="K30" s="61"/>
    </row>
    <row r="32" spans="2:2">
      <c r="B32" s="36" t="s">
        <v>63</v>
      </c>
    </row>
    <row r="33" spans="2:5">
      <c r="B33" s="38" t="s">
        <v>51</v>
      </c>
      <c r="C33" s="38" t="s">
        <v>54</v>
      </c>
      <c r="D33" s="38"/>
      <c r="E33" s="38"/>
    </row>
    <row r="34" ht="40.5" spans="2:5">
      <c r="B34" s="62" t="s">
        <v>64</v>
      </c>
      <c r="C34" s="62" t="s">
        <v>65</v>
      </c>
      <c r="D34" s="38"/>
      <c r="E34" s="38"/>
    </row>
    <row r="36" spans="2:2">
      <c r="B36" s="36" t="s">
        <v>66</v>
      </c>
    </row>
    <row r="37" spans="2:10">
      <c r="B37" s="63" t="s">
        <v>67</v>
      </c>
      <c r="C37" s="63"/>
      <c r="D37" s="63"/>
      <c r="E37" s="63" t="s">
        <v>68</v>
      </c>
      <c r="F37" s="63"/>
      <c r="G37" s="63" t="s">
        <v>69</v>
      </c>
      <c r="H37" s="63"/>
      <c r="I37" s="63"/>
      <c r="J37" s="63" t="s">
        <v>70</v>
      </c>
    </row>
    <row r="38" spans="2:10">
      <c r="B38" s="63"/>
      <c r="C38" s="64" t="s">
        <v>71</v>
      </c>
      <c r="D38" s="64" t="s">
        <v>72</v>
      </c>
      <c r="E38" s="38" t="s">
        <v>73</v>
      </c>
      <c r="F38" s="38" t="s">
        <v>74</v>
      </c>
      <c r="G38" s="38" t="s">
        <v>73</v>
      </c>
      <c r="H38" s="38" t="s">
        <v>74</v>
      </c>
      <c r="I38" s="38" t="s">
        <v>75</v>
      </c>
      <c r="J38" s="38"/>
    </row>
    <row r="39" spans="2:10">
      <c r="B39" s="38" t="s">
        <v>76</v>
      </c>
      <c r="C39" s="65" t="s">
        <v>77</v>
      </c>
      <c r="D39" s="65" t="s">
        <v>78</v>
      </c>
      <c r="E39" s="38">
        <v>120.23687</v>
      </c>
      <c r="F39" s="38">
        <v>30.18603</v>
      </c>
      <c r="G39" s="38">
        <v>120.23702</v>
      </c>
      <c r="H39" s="38">
        <v>30.18603</v>
      </c>
      <c r="I39" s="38" t="s">
        <v>79</v>
      </c>
      <c r="J39" s="38">
        <v>500.02</v>
      </c>
    </row>
    <row r="40" spans="2:10">
      <c r="B40" s="38"/>
      <c r="C40" s="38"/>
      <c r="D40" s="38"/>
      <c r="E40" s="38" t="s">
        <v>80</v>
      </c>
      <c r="F40" s="38" t="s">
        <v>80</v>
      </c>
      <c r="G40" s="38" t="s">
        <v>80</v>
      </c>
      <c r="H40" s="38" t="s">
        <v>80</v>
      </c>
      <c r="I40" s="38"/>
      <c r="J40" s="38" t="s">
        <v>81</v>
      </c>
    </row>
    <row r="42" spans="2:2">
      <c r="B42" s="36" t="s">
        <v>82</v>
      </c>
    </row>
    <row r="43" spans="2:8">
      <c r="B43" s="38" t="s">
        <v>67</v>
      </c>
      <c r="C43" s="64" t="s">
        <v>71</v>
      </c>
      <c r="D43" s="64" t="s">
        <v>72</v>
      </c>
      <c r="E43" s="38" t="s">
        <v>83</v>
      </c>
      <c r="F43" s="38" t="s">
        <v>84</v>
      </c>
      <c r="G43" s="38" t="s">
        <v>75</v>
      </c>
      <c r="H43" s="38" t="s">
        <v>85</v>
      </c>
    </row>
    <row r="44" spans="2:8">
      <c r="B44" s="38" t="s">
        <v>76</v>
      </c>
      <c r="C44" s="65" t="s">
        <v>77</v>
      </c>
      <c r="D44" s="65" t="s">
        <v>78</v>
      </c>
      <c r="E44" s="38">
        <v>60</v>
      </c>
      <c r="F44" s="38">
        <v>120</v>
      </c>
      <c r="G44" s="38" t="s">
        <v>79</v>
      </c>
      <c r="H44" s="38">
        <v>60</v>
      </c>
    </row>
  </sheetData>
  <mergeCells count="5">
    <mergeCell ref="E37:F37"/>
    <mergeCell ref="G37:I37"/>
    <mergeCell ref="B37:B38"/>
    <mergeCell ref="D7:D15"/>
    <mergeCell ref="J37:J38"/>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drawing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workbookViewId="0">
      <selection activeCell="F8" sqref="F8"/>
    </sheetView>
  </sheetViews>
  <sheetFormatPr defaultColWidth="9" defaultRowHeight="15.75"/>
  <cols>
    <col min="1" max="1" width="20.6" style="36" customWidth="true"/>
    <col min="2" max="2" width="25.75" style="36" customWidth="true"/>
    <col min="3" max="3" width="28.2" style="36" customWidth="true"/>
    <col min="4" max="4" width="24.5" style="36" customWidth="true"/>
    <col min="5" max="5" width="17.1" style="36" customWidth="true"/>
    <col min="6" max="6" width="16.2" style="36" customWidth="true"/>
    <col min="7" max="7" width="25.1" style="36" customWidth="true"/>
    <col min="8" max="16384" width="9" style="36"/>
  </cols>
  <sheetData>
    <row r="1" spans="1:1">
      <c r="A1" s="36" t="s">
        <v>86</v>
      </c>
    </row>
    <row r="2" ht="31.5" spans="1:7">
      <c r="A2" s="47" t="s">
        <v>87</v>
      </c>
      <c r="B2" s="48" t="s">
        <v>88</v>
      </c>
      <c r="C2" s="49" t="s">
        <v>89</v>
      </c>
      <c r="D2" s="48" t="s">
        <v>90</v>
      </c>
      <c r="E2" s="49" t="s">
        <v>91</v>
      </c>
      <c r="F2" s="48" t="s">
        <v>92</v>
      </c>
      <c r="G2" s="48" t="s">
        <v>93</v>
      </c>
    </row>
    <row r="3" spans="1:7">
      <c r="A3" s="38">
        <v>1</v>
      </c>
      <c r="B3" s="50"/>
      <c r="C3" s="38"/>
      <c r="D3" s="50"/>
      <c r="E3" s="38"/>
      <c r="F3" s="38"/>
      <c r="G3" s="53" t="s">
        <v>94</v>
      </c>
    </row>
    <row r="4" spans="1:7">
      <c r="A4" s="38"/>
      <c r="B4" s="38"/>
      <c r="C4" s="38"/>
      <c r="D4" s="38"/>
      <c r="E4" s="38"/>
      <c r="F4" s="38"/>
      <c r="G4" s="53"/>
    </row>
    <row r="5" spans="1:7">
      <c r="A5" s="38" t="s">
        <v>95</v>
      </c>
      <c r="B5" s="38"/>
      <c r="C5" s="38"/>
      <c r="D5" s="38"/>
      <c r="E5" s="38"/>
      <c r="F5" s="38"/>
      <c r="G5" s="53"/>
    </row>
    <row r="6" ht="25.5" spans="1:9">
      <c r="A6" s="38" t="s">
        <v>96</v>
      </c>
      <c r="B6" s="51" t="s">
        <v>97</v>
      </c>
      <c r="C6" s="51" t="s">
        <v>98</v>
      </c>
      <c r="D6" s="51" t="s">
        <v>99</v>
      </c>
      <c r="E6" s="51" t="s">
        <v>100</v>
      </c>
      <c r="F6" s="54" t="s">
        <v>101</v>
      </c>
      <c r="G6" s="54" t="s">
        <v>102</v>
      </c>
      <c r="H6" s="51" t="s">
        <v>103</v>
      </c>
      <c r="I6" s="38"/>
    </row>
    <row r="7" s="36" customFormat="true" spans="1:8">
      <c r="A7" s="38">
        <v>1</v>
      </c>
      <c r="B7" s="38">
        <v>24.9904</v>
      </c>
      <c r="C7" s="38">
        <v>47.082</v>
      </c>
      <c r="D7" s="52" t="s">
        <v>104</v>
      </c>
      <c r="E7" s="38">
        <v>100</v>
      </c>
      <c r="F7" s="55">
        <v>32.4601</v>
      </c>
      <c r="G7" s="55">
        <v>46.2375</v>
      </c>
      <c r="H7" s="38">
        <v>50</v>
      </c>
    </row>
    <row r="8" s="36" customFormat="true" spans="1:8">
      <c r="A8" s="38"/>
      <c r="B8" s="38"/>
      <c r="C8" s="38"/>
      <c r="D8" s="38"/>
      <c r="E8" s="52"/>
      <c r="F8" s="38"/>
      <c r="G8" s="55"/>
      <c r="H8" s="38"/>
    </row>
    <row r="9" s="36" customFormat="true" spans="1:8">
      <c r="A9" s="38"/>
      <c r="B9" s="38"/>
      <c r="C9" s="38"/>
      <c r="D9" s="38"/>
      <c r="E9" s="52"/>
      <c r="F9" s="38"/>
      <c r="G9" s="38"/>
      <c r="H9" s="38"/>
    </row>
    <row r="11" spans="1:1">
      <c r="A11" s="36" t="s">
        <v>105</v>
      </c>
    </row>
    <row r="13" spans="1:1">
      <c r="A13" s="36" t="s">
        <v>106</v>
      </c>
    </row>
    <row r="15" spans="1:1">
      <c r="A15" s="36" t="s">
        <v>107</v>
      </c>
    </row>
    <row r="16" spans="1:1">
      <c r="A16" s="36" t="s">
        <v>108</v>
      </c>
    </row>
    <row r="17" spans="1:1">
      <c r="A17" s="36" t="s">
        <v>109</v>
      </c>
    </row>
    <row r="18" spans="1:1">
      <c r="A18" s="36" t="s">
        <v>110</v>
      </c>
    </row>
    <row r="19" spans="1:1">
      <c r="A19" s="36" t="s">
        <v>111</v>
      </c>
    </row>
  </sheetData>
  <dataValidations count="1">
    <dataValidation type="list" allowBlank="1" showInputMessage="1" showErrorMessage="1" sqref="C3 E3 C4 E4 C5 E5">
      <formula1>"是,否"</formula1>
    </dataValidation>
  </dataValidation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drawing r:id="rId1"/>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47"/>
  <sheetViews>
    <sheetView topLeftCell="A11" workbookViewId="0">
      <selection activeCell="A28" sqref="A28:C29"/>
    </sheetView>
  </sheetViews>
  <sheetFormatPr defaultColWidth="9" defaultRowHeight="15.75" outlineLevelCol="6"/>
  <cols>
    <col min="1" max="1" width="19.25" customWidth="true"/>
    <col min="2" max="2" width="14.125" customWidth="true"/>
    <col min="3" max="3" width="27.5" customWidth="true"/>
  </cols>
  <sheetData>
    <row r="2" spans="1:7">
      <c r="A2" s="20" t="s">
        <v>112</v>
      </c>
      <c r="B2" s="20"/>
      <c r="C2" s="20"/>
      <c r="D2" s="20"/>
      <c r="E2" s="20"/>
      <c r="F2" s="20"/>
      <c r="G2" s="20"/>
    </row>
    <row r="3" spans="1:7">
      <c r="A3" s="20" t="s">
        <v>113</v>
      </c>
      <c r="B3" s="20"/>
      <c r="C3" s="20"/>
      <c r="D3" s="20"/>
      <c r="E3" s="20"/>
      <c r="F3" s="20"/>
      <c r="G3" s="20"/>
    </row>
    <row r="4" spans="1:7">
      <c r="A4" s="20"/>
      <c r="B4" s="20"/>
      <c r="C4" s="20"/>
      <c r="D4" s="20"/>
      <c r="E4" s="20"/>
      <c r="F4" s="20"/>
      <c r="G4" s="20"/>
    </row>
    <row r="5" spans="1:7">
      <c r="A5" s="21" t="s">
        <v>114</v>
      </c>
      <c r="B5" s="22"/>
      <c r="C5" s="22"/>
      <c r="D5" s="22"/>
      <c r="E5" s="22"/>
      <c r="F5" s="22"/>
      <c r="G5" s="22"/>
    </row>
    <row r="6" spans="1:7">
      <c r="A6" s="23" t="s">
        <v>18</v>
      </c>
      <c r="B6" s="23" t="s">
        <v>53</v>
      </c>
      <c r="C6" s="23" t="s">
        <v>115</v>
      </c>
      <c r="D6" s="23" t="s">
        <v>17</v>
      </c>
      <c r="E6" s="31" t="s">
        <v>18</v>
      </c>
      <c r="F6" s="31" t="s">
        <v>116</v>
      </c>
      <c r="G6" s="23" t="s">
        <v>19</v>
      </c>
    </row>
    <row r="7" spans="1:7">
      <c r="A7" s="28" t="s">
        <v>117</v>
      </c>
      <c r="B7" s="28" t="s">
        <v>118</v>
      </c>
      <c r="C7" s="28" t="s">
        <v>119</v>
      </c>
      <c r="D7" s="23"/>
      <c r="E7" s="31" t="s">
        <v>120</v>
      </c>
      <c r="F7" s="31"/>
      <c r="G7" s="23"/>
    </row>
    <row r="8" spans="1:7">
      <c r="A8" s="28" t="s">
        <v>121</v>
      </c>
      <c r="B8" s="28" t="s">
        <v>122</v>
      </c>
      <c r="C8" s="28" t="s">
        <v>123</v>
      </c>
      <c r="D8" s="23"/>
      <c r="E8" s="23" t="s">
        <v>124</v>
      </c>
      <c r="F8" s="23"/>
      <c r="G8" s="32"/>
    </row>
    <row r="9" spans="1:7">
      <c r="A9" s="28" t="s">
        <v>125</v>
      </c>
      <c r="B9" s="28" t="s">
        <v>122</v>
      </c>
      <c r="C9" s="28" t="s">
        <v>126</v>
      </c>
      <c r="D9" s="23"/>
      <c r="E9" s="23" t="s">
        <v>127</v>
      </c>
      <c r="F9" s="23"/>
      <c r="G9" s="32"/>
    </row>
    <row r="10" spans="1:7">
      <c r="A10" s="23" t="s">
        <v>128</v>
      </c>
      <c r="B10" s="23" t="s">
        <v>118</v>
      </c>
      <c r="C10" s="23" t="s">
        <v>129</v>
      </c>
      <c r="D10" s="23"/>
      <c r="E10" s="23"/>
      <c r="F10" s="23"/>
      <c r="G10" s="32"/>
    </row>
    <row r="11" spans="1:7">
      <c r="A11" s="23" t="s">
        <v>130</v>
      </c>
      <c r="B11" s="23" t="s">
        <v>118</v>
      </c>
      <c r="C11" s="23" t="s">
        <v>131</v>
      </c>
      <c r="D11" s="23"/>
      <c r="E11" s="23"/>
      <c r="F11" s="23"/>
      <c r="G11" s="32"/>
    </row>
    <row r="12" spans="1:7">
      <c r="A12" s="23" t="s">
        <v>132</v>
      </c>
      <c r="B12" s="23" t="s">
        <v>122</v>
      </c>
      <c r="C12" s="23" t="s">
        <v>133</v>
      </c>
      <c r="D12" s="23"/>
      <c r="E12" s="23"/>
      <c r="F12" s="23"/>
      <c r="G12" s="32"/>
    </row>
    <row r="13" spans="1:7">
      <c r="A13" s="23" t="s">
        <v>134</v>
      </c>
      <c r="B13" s="23" t="s">
        <v>122</v>
      </c>
      <c r="C13" s="23" t="s">
        <v>135</v>
      </c>
      <c r="D13" s="23"/>
      <c r="E13" s="23"/>
      <c r="F13" s="23"/>
      <c r="G13" s="32"/>
    </row>
    <row r="14" spans="1:7">
      <c r="A14" s="23" t="s">
        <v>136</v>
      </c>
      <c r="B14" s="23" t="s">
        <v>122</v>
      </c>
      <c r="C14" s="23" t="s">
        <v>137</v>
      </c>
      <c r="D14" s="23"/>
      <c r="E14" s="23"/>
      <c r="F14" s="23"/>
      <c r="G14" s="32"/>
    </row>
    <row r="15" spans="1:7">
      <c r="A15" s="40" t="s">
        <v>138</v>
      </c>
      <c r="B15" s="40" t="s">
        <v>118</v>
      </c>
      <c r="C15" s="40" t="s">
        <v>139</v>
      </c>
      <c r="D15" s="40"/>
      <c r="E15" s="40" t="s">
        <v>140</v>
      </c>
      <c r="F15" s="23"/>
      <c r="G15" s="32"/>
    </row>
    <row r="16" spans="1:7">
      <c r="A16" s="41" t="s">
        <v>141</v>
      </c>
      <c r="B16" s="23" t="s">
        <v>142</v>
      </c>
      <c r="C16" s="23" t="s">
        <v>143</v>
      </c>
      <c r="D16" s="23"/>
      <c r="E16" s="23"/>
      <c r="F16" s="23"/>
      <c r="G16" s="23"/>
    </row>
    <row r="17" spans="1:7">
      <c r="A17" s="41" t="s">
        <v>144</v>
      </c>
      <c r="B17" s="23" t="s">
        <v>142</v>
      </c>
      <c r="C17" s="23" t="s">
        <v>145</v>
      </c>
      <c r="D17" s="23"/>
      <c r="E17" s="23" t="s">
        <v>146</v>
      </c>
      <c r="F17" s="23"/>
      <c r="G17" s="23"/>
    </row>
    <row r="18" spans="1:7">
      <c r="A18" s="42" t="s">
        <v>147</v>
      </c>
      <c r="B18" s="23" t="s">
        <v>142</v>
      </c>
      <c r="C18" s="23" t="s">
        <v>148</v>
      </c>
      <c r="D18" s="23"/>
      <c r="E18" s="23"/>
      <c r="F18" s="23"/>
      <c r="G18" s="23"/>
    </row>
    <row r="19" spans="1:7">
      <c r="A19" s="43" t="s">
        <v>149</v>
      </c>
      <c r="B19" s="23" t="s">
        <v>118</v>
      </c>
      <c r="C19" s="23" t="s">
        <v>150</v>
      </c>
      <c r="D19" s="23"/>
      <c r="E19" s="23"/>
      <c r="F19" s="23"/>
      <c r="G19" s="23"/>
    </row>
    <row r="20" spans="1:7">
      <c r="A20" s="42" t="s">
        <v>151</v>
      </c>
      <c r="B20" s="23" t="s">
        <v>142</v>
      </c>
      <c r="C20" s="23" t="s">
        <v>152</v>
      </c>
      <c r="D20" s="23"/>
      <c r="E20" s="23"/>
      <c r="F20" s="23"/>
      <c r="G20" s="23"/>
    </row>
    <row r="21" spans="1:7">
      <c r="A21" s="34" t="s">
        <v>153</v>
      </c>
      <c r="B21" s="23" t="s">
        <v>142</v>
      </c>
      <c r="C21" s="23" t="s">
        <v>153</v>
      </c>
      <c r="D21" s="23"/>
      <c r="E21" s="23"/>
      <c r="F21" s="23"/>
      <c r="G21" s="23"/>
    </row>
    <row r="22" spans="1:7">
      <c r="A22" s="34" t="s">
        <v>154</v>
      </c>
      <c r="B22" s="23" t="s">
        <v>142</v>
      </c>
      <c r="C22" s="23" t="s">
        <v>154</v>
      </c>
      <c r="D22" s="23"/>
      <c r="E22" s="23"/>
      <c r="F22" s="23"/>
      <c r="G22" s="23"/>
    </row>
    <row r="23" spans="1:7">
      <c r="A23" s="42" t="s">
        <v>155</v>
      </c>
      <c r="B23" s="23" t="s">
        <v>156</v>
      </c>
      <c r="C23" s="23" t="s">
        <v>157</v>
      </c>
      <c r="D23" s="23"/>
      <c r="E23" s="23"/>
      <c r="F23" s="23"/>
      <c r="G23" s="23"/>
    </row>
    <row r="24" spans="1:7">
      <c r="A24" s="42" t="s">
        <v>158</v>
      </c>
      <c r="B24" s="23" t="s">
        <v>156</v>
      </c>
      <c r="C24" s="23" t="s">
        <v>159</v>
      </c>
      <c r="D24" s="23"/>
      <c r="E24" s="23"/>
      <c r="F24" s="23"/>
      <c r="G24" s="23"/>
    </row>
    <row r="25" spans="1:7">
      <c r="A25" s="42" t="s">
        <v>160</v>
      </c>
      <c r="B25" s="23" t="s">
        <v>142</v>
      </c>
      <c r="C25" s="23" t="s">
        <v>161</v>
      </c>
      <c r="D25" s="23"/>
      <c r="E25" s="23"/>
      <c r="F25" s="23"/>
      <c r="G25" s="23"/>
    </row>
    <row r="26" spans="1:7">
      <c r="A26" s="42" t="s">
        <v>162</v>
      </c>
      <c r="B26" s="23" t="s">
        <v>118</v>
      </c>
      <c r="C26" s="23" t="s">
        <v>163</v>
      </c>
      <c r="D26" s="23"/>
      <c r="E26" s="23" t="s">
        <v>164</v>
      </c>
      <c r="F26" s="23"/>
      <c r="G26" s="23"/>
    </row>
    <row r="27" spans="1:7">
      <c r="A27" s="34" t="s">
        <v>165</v>
      </c>
      <c r="B27" s="23" t="s">
        <v>142</v>
      </c>
      <c r="C27" s="23" t="s">
        <v>166</v>
      </c>
      <c r="D27" s="23"/>
      <c r="E27" s="23"/>
      <c r="F27" s="23"/>
      <c r="G27" s="23"/>
    </row>
    <row r="28" spans="1:7">
      <c r="A28" s="34" t="s">
        <v>167</v>
      </c>
      <c r="B28" s="23" t="s">
        <v>156</v>
      </c>
      <c r="C28" s="23" t="s">
        <v>168</v>
      </c>
      <c r="D28" s="23"/>
      <c r="E28" s="23"/>
      <c r="F28" s="23"/>
      <c r="G28" s="23"/>
    </row>
    <row r="29" spans="1:7">
      <c r="A29" s="34" t="s">
        <v>169</v>
      </c>
      <c r="B29" s="23" t="s">
        <v>156</v>
      </c>
      <c r="C29" s="23" t="s">
        <v>170</v>
      </c>
      <c r="D29" s="23"/>
      <c r="E29" s="23"/>
      <c r="F29" s="23"/>
      <c r="G29" s="23"/>
    </row>
    <row r="30" spans="1:7">
      <c r="A30" s="42" t="s">
        <v>171</v>
      </c>
      <c r="B30" s="23" t="s">
        <v>156</v>
      </c>
      <c r="C30" s="23" t="s">
        <v>172</v>
      </c>
      <c r="D30" s="23"/>
      <c r="E30" s="23"/>
      <c r="F30" s="23"/>
      <c r="G30" s="23"/>
    </row>
    <row r="31" spans="1:7">
      <c r="A31" s="42" t="s">
        <v>173</v>
      </c>
      <c r="B31" s="23" t="s">
        <v>156</v>
      </c>
      <c r="C31" s="23" t="s">
        <v>174</v>
      </c>
      <c r="D31" s="23"/>
      <c r="E31" s="23"/>
      <c r="F31" s="23"/>
      <c r="G31" s="23"/>
    </row>
    <row r="32" spans="1:7">
      <c r="A32" s="42" t="s">
        <v>175</v>
      </c>
      <c r="B32" s="23" t="s">
        <v>156</v>
      </c>
      <c r="C32" s="23" t="s">
        <v>176</v>
      </c>
      <c r="D32" s="23"/>
      <c r="E32" s="23"/>
      <c r="F32" s="23"/>
      <c r="G32" s="23"/>
    </row>
    <row r="33" spans="1:7">
      <c r="A33" s="42" t="s">
        <v>177</v>
      </c>
      <c r="B33" s="23" t="s">
        <v>156</v>
      </c>
      <c r="C33" s="23" t="s">
        <v>178</v>
      </c>
      <c r="D33" s="23"/>
      <c r="E33" s="23"/>
      <c r="F33" s="23"/>
      <c r="G33" s="23"/>
    </row>
    <row r="34" spans="1:7">
      <c r="A34" s="42" t="s">
        <v>179</v>
      </c>
      <c r="B34" s="23" t="s">
        <v>118</v>
      </c>
      <c r="C34" s="42" t="s">
        <v>180</v>
      </c>
      <c r="D34" s="23"/>
      <c r="E34" s="23"/>
      <c r="F34" s="23"/>
      <c r="G34" s="23"/>
    </row>
    <row r="35" spans="1:7">
      <c r="A35" s="42" t="s">
        <v>181</v>
      </c>
      <c r="B35" s="23" t="s">
        <v>156</v>
      </c>
      <c r="C35" s="23" t="s">
        <v>182</v>
      </c>
      <c r="D35" s="23"/>
      <c r="E35" s="23"/>
      <c r="F35" s="23"/>
      <c r="G35" s="23"/>
    </row>
    <row r="36" spans="1:7">
      <c r="A36" s="42" t="s">
        <v>183</v>
      </c>
      <c r="B36" s="23" t="s">
        <v>156</v>
      </c>
      <c r="C36" s="23" t="s">
        <v>184</v>
      </c>
      <c r="D36" s="23"/>
      <c r="E36" s="23"/>
      <c r="F36" s="23"/>
      <c r="G36" s="23"/>
    </row>
    <row r="37" spans="1:7">
      <c r="A37" s="42" t="s">
        <v>185</v>
      </c>
      <c r="B37" s="23" t="s">
        <v>142</v>
      </c>
      <c r="C37" s="23" t="s">
        <v>186</v>
      </c>
      <c r="D37" s="23"/>
      <c r="E37" s="23"/>
      <c r="F37" s="23"/>
      <c r="G37" s="23"/>
    </row>
    <row r="38" spans="1:7">
      <c r="A38" s="44" t="s">
        <v>187</v>
      </c>
      <c r="B38" s="23" t="s">
        <v>142</v>
      </c>
      <c r="C38" s="23" t="s">
        <v>188</v>
      </c>
      <c r="D38" s="23"/>
      <c r="E38" s="23" t="s">
        <v>189</v>
      </c>
      <c r="F38" s="23"/>
      <c r="G38" s="23"/>
    </row>
    <row r="39" spans="1:7">
      <c r="A39" s="45" t="s">
        <v>190</v>
      </c>
      <c r="B39" s="23" t="s">
        <v>118</v>
      </c>
      <c r="C39" s="23" t="s">
        <v>184</v>
      </c>
      <c r="D39" s="23"/>
      <c r="E39" s="23"/>
      <c r="F39" s="23"/>
      <c r="G39" s="23"/>
    </row>
    <row r="40" spans="1:7">
      <c r="A40" s="44" t="s">
        <v>191</v>
      </c>
      <c r="B40" s="23" t="s">
        <v>142</v>
      </c>
      <c r="C40" s="23" t="s">
        <v>192</v>
      </c>
      <c r="D40" s="23"/>
      <c r="E40" s="23"/>
      <c r="F40" s="23"/>
      <c r="G40" s="23"/>
    </row>
    <row r="41" spans="1:7">
      <c r="A41" s="46" t="s">
        <v>193</v>
      </c>
      <c r="B41" s="40" t="s">
        <v>118</v>
      </c>
      <c r="C41" s="40" t="s">
        <v>193</v>
      </c>
      <c r="D41" s="40"/>
      <c r="E41" s="40"/>
      <c r="F41" s="40"/>
      <c r="G41" s="40"/>
    </row>
    <row r="42" spans="1:7">
      <c r="A42" s="41" t="s">
        <v>120</v>
      </c>
      <c r="B42" s="23" t="s">
        <v>118</v>
      </c>
      <c r="C42" s="23" t="s">
        <v>194</v>
      </c>
      <c r="D42" s="23"/>
      <c r="E42" s="23"/>
      <c r="F42" s="23"/>
      <c r="G42" s="23"/>
    </row>
    <row r="43" spans="1:7">
      <c r="A43" s="30" t="s">
        <v>124</v>
      </c>
      <c r="B43" s="23" t="s">
        <v>142</v>
      </c>
      <c r="C43" s="23" t="s">
        <v>195</v>
      </c>
      <c r="D43" s="23"/>
      <c r="E43" s="23"/>
      <c r="F43" s="23"/>
      <c r="G43" s="23"/>
    </row>
    <row r="44" spans="1:7">
      <c r="A44" s="30" t="s">
        <v>127</v>
      </c>
      <c r="B44" s="23" t="s">
        <v>142</v>
      </c>
      <c r="C44" s="23" t="s">
        <v>196</v>
      </c>
      <c r="D44" s="23"/>
      <c r="E44" s="23"/>
      <c r="F44" s="38"/>
      <c r="G44" s="38"/>
    </row>
    <row r="45" spans="1:7">
      <c r="A45" s="30"/>
      <c r="B45" s="26"/>
      <c r="C45" s="26"/>
      <c r="D45" s="23"/>
      <c r="E45" s="23"/>
      <c r="F45" s="38"/>
      <c r="G45" s="38"/>
    </row>
    <row r="46" spans="1:7">
      <c r="A46" s="23"/>
      <c r="B46" s="23"/>
      <c r="C46" s="23"/>
      <c r="D46" s="23"/>
      <c r="E46" s="23"/>
      <c r="F46" s="23"/>
      <c r="G46" s="38"/>
    </row>
    <row r="47" spans="1:7">
      <c r="A47" s="23"/>
      <c r="B47" s="23"/>
      <c r="C47" s="23"/>
      <c r="D47" s="23"/>
      <c r="E47" s="23"/>
      <c r="F47" s="23"/>
      <c r="G47" s="3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workbookViewId="0">
      <selection activeCell="D17" sqref="D17"/>
    </sheetView>
  </sheetViews>
  <sheetFormatPr defaultColWidth="9" defaultRowHeight="15.75"/>
  <cols>
    <col min="1" max="1" width="19.4" style="36" customWidth="true"/>
    <col min="2" max="2" width="9" style="36"/>
    <col min="3" max="3" width="27.3" style="36" customWidth="true"/>
    <col min="4" max="4" width="44.8" style="36" customWidth="true"/>
    <col min="5" max="5" width="14.7" style="36" customWidth="true"/>
    <col min="6" max="6" width="21.8" style="36" customWidth="true"/>
    <col min="7" max="7" width="15.6" style="36" customWidth="true"/>
    <col min="8" max="8" width="15.9" style="36" customWidth="true"/>
    <col min="9" max="16384" width="9" style="36"/>
  </cols>
  <sheetData>
    <row r="1" s="20" customFormat="true" ht="15.6" customHeight="true"/>
    <row r="2" s="20" customFormat="true" ht="15.6" customHeight="true" spans="1:1">
      <c r="A2" s="20" t="s">
        <v>197</v>
      </c>
    </row>
    <row r="3" s="20" customFormat="true" ht="15.6" customHeight="true" spans="1:1">
      <c r="A3" s="20" t="s">
        <v>198</v>
      </c>
    </row>
    <row r="4" s="20" customFormat="true" ht="54" customHeight="true" spans="1:7">
      <c r="A4" s="37" t="s">
        <v>199</v>
      </c>
      <c r="B4" s="37"/>
      <c r="C4" s="37"/>
      <c r="D4" s="37"/>
      <c r="E4" s="37"/>
      <c r="F4" s="37"/>
      <c r="G4" s="37"/>
    </row>
    <row r="5" s="22" customFormat="true" ht="15.6" customHeight="true" spans="1:1">
      <c r="A5" s="21" t="s">
        <v>114</v>
      </c>
    </row>
    <row r="6" s="20" customFormat="true" ht="15.6" customHeight="true" spans="1:8">
      <c r="A6" s="23" t="s">
        <v>18</v>
      </c>
      <c r="B6" s="23" t="s">
        <v>53</v>
      </c>
      <c r="C6" s="23" t="s">
        <v>115</v>
      </c>
      <c r="D6" s="23" t="s">
        <v>17</v>
      </c>
      <c r="E6" s="31" t="s">
        <v>18</v>
      </c>
      <c r="F6" s="31" t="s">
        <v>116</v>
      </c>
      <c r="G6" s="23" t="s">
        <v>19</v>
      </c>
      <c r="H6" s="20" t="s">
        <v>200</v>
      </c>
    </row>
    <row r="7" s="20" customFormat="true" ht="15.6" customHeight="true" spans="1:7">
      <c r="A7" s="28" t="s">
        <v>117</v>
      </c>
      <c r="B7" s="28" t="s">
        <v>118</v>
      </c>
      <c r="C7" s="28" t="s">
        <v>119</v>
      </c>
      <c r="D7" s="23"/>
      <c r="E7" s="31"/>
      <c r="F7" s="31"/>
      <c r="G7" s="23"/>
    </row>
    <row r="8" s="22" customFormat="true" ht="15.6" customHeight="true" spans="1:10">
      <c r="A8" s="28" t="s">
        <v>121</v>
      </c>
      <c r="B8" s="28" t="s">
        <v>122</v>
      </c>
      <c r="C8" s="28" t="s">
        <v>123</v>
      </c>
      <c r="D8" s="23"/>
      <c r="E8" s="23"/>
      <c r="F8" s="23"/>
      <c r="G8" s="32"/>
      <c r="H8" s="36"/>
      <c r="I8" s="20"/>
      <c r="J8" s="20"/>
    </row>
    <row r="9" s="22" customFormat="true" ht="15.6" customHeight="true" spans="1:10">
      <c r="A9" s="28" t="s">
        <v>125</v>
      </c>
      <c r="B9" s="28" t="s">
        <v>122</v>
      </c>
      <c r="C9" s="28" t="s">
        <v>126</v>
      </c>
      <c r="D9" s="23"/>
      <c r="E9" s="23"/>
      <c r="F9" s="23"/>
      <c r="G9" s="32"/>
      <c r="H9" s="36"/>
      <c r="I9" s="20"/>
      <c r="J9" s="20"/>
    </row>
    <row r="10" s="22" customFormat="true" ht="15.6" customHeight="true" spans="1:10">
      <c r="A10" s="23" t="s">
        <v>128</v>
      </c>
      <c r="B10" s="23" t="s">
        <v>118</v>
      </c>
      <c r="C10" s="23" t="s">
        <v>129</v>
      </c>
      <c r="D10" s="23"/>
      <c r="E10" s="23"/>
      <c r="F10" s="23"/>
      <c r="G10" s="32"/>
      <c r="H10" s="36"/>
      <c r="I10" s="20"/>
      <c r="J10" s="20"/>
    </row>
    <row r="11" s="22" customFormat="true" ht="15.6" customHeight="true" spans="1:10">
      <c r="A11" s="23" t="s">
        <v>130</v>
      </c>
      <c r="B11" s="23" t="s">
        <v>118</v>
      </c>
      <c r="C11" s="23" t="s">
        <v>131</v>
      </c>
      <c r="D11" s="23"/>
      <c r="E11" s="23"/>
      <c r="F11" s="23"/>
      <c r="G11" s="32"/>
      <c r="H11" s="36"/>
      <c r="I11" s="20"/>
      <c r="J11" s="20"/>
    </row>
    <row r="12" s="22" customFormat="true" ht="15.6" customHeight="true" spans="1:10">
      <c r="A12" s="23" t="s">
        <v>132</v>
      </c>
      <c r="B12" s="23" t="s">
        <v>122</v>
      </c>
      <c r="C12" s="23" t="s">
        <v>133</v>
      </c>
      <c r="D12" s="23"/>
      <c r="E12" s="23"/>
      <c r="F12" s="23"/>
      <c r="G12" s="32"/>
      <c r="H12" s="36"/>
      <c r="I12" s="20"/>
      <c r="J12" s="20"/>
    </row>
    <row r="13" s="22" customFormat="true" ht="15.6" customHeight="true" spans="1:10">
      <c r="A13" s="23" t="s">
        <v>134</v>
      </c>
      <c r="B13" s="23" t="s">
        <v>122</v>
      </c>
      <c r="C13" s="23" t="s">
        <v>135</v>
      </c>
      <c r="D13" s="23"/>
      <c r="E13" s="23"/>
      <c r="F13" s="23"/>
      <c r="G13" s="32"/>
      <c r="H13" s="36"/>
      <c r="I13" s="20"/>
      <c r="J13" s="20"/>
    </row>
    <row r="14" s="22" customFormat="true" ht="15.6" customHeight="true" spans="1:10">
      <c r="A14" s="23" t="s">
        <v>136</v>
      </c>
      <c r="B14" s="23" t="s">
        <v>122</v>
      </c>
      <c r="C14" s="23" t="s">
        <v>137</v>
      </c>
      <c r="D14" s="23"/>
      <c r="E14" s="23"/>
      <c r="F14" s="23"/>
      <c r="G14" s="32"/>
      <c r="H14" s="36"/>
      <c r="I14" s="20"/>
      <c r="J14" s="20"/>
    </row>
    <row r="15" s="22" customFormat="true" ht="15.6" customHeight="true" spans="1:10">
      <c r="A15" s="28" t="s">
        <v>187</v>
      </c>
      <c r="B15" s="28" t="s">
        <v>142</v>
      </c>
      <c r="C15" s="28" t="s">
        <v>187</v>
      </c>
      <c r="D15" s="23"/>
      <c r="E15" s="23"/>
      <c r="F15" s="23"/>
      <c r="G15" s="32"/>
      <c r="H15" s="36"/>
      <c r="I15" s="20"/>
      <c r="J15" s="20"/>
    </row>
    <row r="16" s="35" customFormat="true" ht="15.6" customHeight="true" spans="1:10">
      <c r="A16" s="23" t="s">
        <v>138</v>
      </c>
      <c r="B16" s="23" t="s">
        <v>118</v>
      </c>
      <c r="C16" s="23" t="s">
        <v>201</v>
      </c>
      <c r="D16" s="23" t="s">
        <v>202</v>
      </c>
      <c r="E16" s="23"/>
      <c r="F16" s="23"/>
      <c r="G16" s="32"/>
      <c r="H16" s="36"/>
      <c r="I16" s="20"/>
      <c r="J16" s="20"/>
    </row>
    <row r="17" s="20" customFormat="true" ht="15.6" customHeight="true" spans="1:8">
      <c r="A17" s="28" t="s">
        <v>203</v>
      </c>
      <c r="B17" s="28" t="s">
        <v>156</v>
      </c>
      <c r="C17" s="28" t="s">
        <v>204</v>
      </c>
      <c r="D17" s="23"/>
      <c r="E17" s="23"/>
      <c r="F17" s="23"/>
      <c r="G17" s="23"/>
      <c r="H17" s="36"/>
    </row>
    <row r="18" s="20" customFormat="true" ht="15.6" customHeight="true" spans="1:8">
      <c r="A18" s="28" t="s">
        <v>205</v>
      </c>
      <c r="B18" s="28" t="s">
        <v>156</v>
      </c>
      <c r="C18" s="28" t="s">
        <v>206</v>
      </c>
      <c r="D18" s="23"/>
      <c r="E18" s="23"/>
      <c r="F18" s="23"/>
      <c r="G18" s="23"/>
      <c r="H18" s="36"/>
    </row>
    <row r="19" s="20" customFormat="true" ht="15.6" customHeight="true" spans="1:8">
      <c r="A19" s="28" t="s">
        <v>207</v>
      </c>
      <c r="B19" s="28" t="s">
        <v>156</v>
      </c>
      <c r="C19" s="28" t="s">
        <v>208</v>
      </c>
      <c r="D19" s="23"/>
      <c r="E19" s="23"/>
      <c r="F19" s="23"/>
      <c r="G19" s="23"/>
      <c r="H19" s="36"/>
    </row>
    <row r="20" s="20" customFormat="true" ht="15.6" customHeight="true" spans="1:8">
      <c r="A20" s="28" t="s">
        <v>209</v>
      </c>
      <c r="B20" s="28" t="s">
        <v>156</v>
      </c>
      <c r="C20" s="28" t="s">
        <v>210</v>
      </c>
      <c r="D20" s="23"/>
      <c r="E20" s="23"/>
      <c r="F20" s="23"/>
      <c r="G20" s="23"/>
      <c r="H20" s="36"/>
    </row>
    <row r="21" s="20" customFormat="true" ht="15.6" customHeight="true" spans="1:8">
      <c r="A21" s="23" t="s">
        <v>211</v>
      </c>
      <c r="B21" s="23" t="s">
        <v>156</v>
      </c>
      <c r="C21" s="23" t="s">
        <v>75</v>
      </c>
      <c r="D21" s="23"/>
      <c r="E21" s="23"/>
      <c r="F21" s="23"/>
      <c r="G21" s="23"/>
      <c r="H21" s="36"/>
    </row>
    <row r="22" s="20" customFormat="true" ht="15.6" customHeight="true" spans="1:8">
      <c r="A22" s="23" t="s">
        <v>212</v>
      </c>
      <c r="B22" s="23" t="s">
        <v>156</v>
      </c>
      <c r="C22" s="23" t="s">
        <v>213</v>
      </c>
      <c r="D22" s="23"/>
      <c r="E22" s="23"/>
      <c r="F22" s="23"/>
      <c r="G22" s="23"/>
      <c r="H22" s="36"/>
    </row>
    <row r="23" s="20" customFormat="true" ht="15.6" customHeight="true" spans="1:8">
      <c r="A23" s="28" t="s">
        <v>160</v>
      </c>
      <c r="B23" s="28" t="s">
        <v>142</v>
      </c>
      <c r="C23" s="28" t="s">
        <v>161</v>
      </c>
      <c r="D23" s="23"/>
      <c r="E23" s="23"/>
      <c r="F23" s="23"/>
      <c r="G23" s="23"/>
      <c r="H23" s="36"/>
    </row>
    <row r="24" s="20" customFormat="true" ht="15.6" customHeight="true" spans="1:8">
      <c r="A24" s="28" t="s">
        <v>147</v>
      </c>
      <c r="B24" s="28" t="s">
        <v>142</v>
      </c>
      <c r="C24" s="28" t="s">
        <v>148</v>
      </c>
      <c r="D24" s="23"/>
      <c r="E24" s="23"/>
      <c r="F24" s="23"/>
      <c r="G24" s="23"/>
      <c r="H24" s="36"/>
    </row>
    <row r="25" s="20" customFormat="true" ht="15.6" customHeight="true" spans="1:8">
      <c r="A25" s="28" t="s">
        <v>185</v>
      </c>
      <c r="B25" s="28" t="s">
        <v>142</v>
      </c>
      <c r="C25" s="28" t="s">
        <v>186</v>
      </c>
      <c r="D25" s="23"/>
      <c r="E25" s="23"/>
      <c r="F25" s="23"/>
      <c r="G25" s="23"/>
      <c r="H25" s="36"/>
    </row>
    <row r="26" s="20" customFormat="true" ht="15.6" customHeight="true" spans="1:8">
      <c r="A26" s="28" t="s">
        <v>165</v>
      </c>
      <c r="B26" s="28" t="s">
        <v>142</v>
      </c>
      <c r="C26" s="28" t="s">
        <v>166</v>
      </c>
      <c r="D26" s="23"/>
      <c r="E26" s="23"/>
      <c r="F26" s="23"/>
      <c r="G26" s="23"/>
      <c r="H26" s="36"/>
    </row>
    <row r="27" s="20" customFormat="true" ht="15.6" customHeight="true" spans="1:8">
      <c r="A27" s="30" t="s">
        <v>214</v>
      </c>
      <c r="B27" s="23" t="s">
        <v>118</v>
      </c>
      <c r="C27" s="23" t="s">
        <v>194</v>
      </c>
      <c r="D27" s="23"/>
      <c r="E27" s="23"/>
      <c r="F27" s="23"/>
      <c r="G27" s="23"/>
      <c r="H27" s="36"/>
    </row>
    <row r="28" s="20" customFormat="true" ht="15.6" customHeight="true" spans="1:8">
      <c r="A28" s="30" t="s">
        <v>124</v>
      </c>
      <c r="B28" s="23" t="s">
        <v>142</v>
      </c>
      <c r="C28" s="23" t="s">
        <v>195</v>
      </c>
      <c r="D28" s="23"/>
      <c r="E28" s="23"/>
      <c r="F28" s="23"/>
      <c r="G28" s="23"/>
      <c r="H28" s="36"/>
    </row>
    <row r="29" spans="1:8">
      <c r="A29" s="30" t="s">
        <v>127</v>
      </c>
      <c r="B29" s="23" t="s">
        <v>142</v>
      </c>
      <c r="C29" s="23" t="s">
        <v>196</v>
      </c>
      <c r="D29" s="23"/>
      <c r="E29" s="23"/>
      <c r="F29" s="38"/>
      <c r="G29" s="38"/>
      <c r="H29" s="36" t="s">
        <v>215</v>
      </c>
    </row>
    <row r="30" spans="1:7">
      <c r="A30" s="30"/>
      <c r="B30" s="26"/>
      <c r="C30" s="26"/>
      <c r="D30" s="23"/>
      <c r="E30" s="23"/>
      <c r="F30" s="38"/>
      <c r="G30" s="38"/>
    </row>
    <row r="31" s="36" customFormat="true" ht="15.6" customHeight="true" spans="1:12">
      <c r="A31" s="23"/>
      <c r="B31" s="23"/>
      <c r="C31" s="23"/>
      <c r="D31" s="23"/>
      <c r="E31" s="23"/>
      <c r="F31" s="23"/>
      <c r="G31" s="38"/>
      <c r="H31" s="39"/>
      <c r="I31" s="39"/>
      <c r="J31" s="39"/>
      <c r="K31" s="39"/>
      <c r="L31" s="39"/>
    </row>
    <row r="32" s="36" customFormat="true" ht="15.6" customHeight="true" spans="1:12">
      <c r="A32" s="23"/>
      <c r="B32" s="23"/>
      <c r="C32" s="23"/>
      <c r="D32" s="23"/>
      <c r="E32" s="23"/>
      <c r="F32" s="23"/>
      <c r="G32" s="38"/>
      <c r="H32" s="39"/>
      <c r="I32" s="39"/>
      <c r="J32" s="39"/>
      <c r="K32" s="39"/>
      <c r="L32" s="39"/>
    </row>
    <row r="33" s="36" customFormat="true" ht="15.6" customHeight="true" spans="1:12">
      <c r="A33" s="23"/>
      <c r="B33" s="23"/>
      <c r="C33" s="23"/>
      <c r="D33" s="23"/>
      <c r="E33" s="23"/>
      <c r="F33" s="23"/>
      <c r="G33" s="38"/>
      <c r="H33" s="39"/>
      <c r="I33" s="39"/>
      <c r="J33" s="39"/>
      <c r="K33" s="39"/>
      <c r="L33" s="39"/>
    </row>
    <row r="34" spans="8:12">
      <c r="H34" s="39"/>
      <c r="I34" s="39"/>
      <c r="J34" s="39"/>
      <c r="K34" s="39"/>
      <c r="L34" s="39"/>
    </row>
  </sheetData>
  <mergeCells count="1">
    <mergeCell ref="A4:G4"/>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28"/>
  <sheetViews>
    <sheetView workbookViewId="0">
      <selection activeCell="A19" sqref="A19:C19"/>
    </sheetView>
  </sheetViews>
  <sheetFormatPr defaultColWidth="9" defaultRowHeight="15.75" outlineLevelCol="6"/>
  <cols>
    <col min="1" max="1" width="16.375" customWidth="true"/>
    <col min="2" max="2" width="13.375" customWidth="true"/>
    <col min="3" max="3" width="20" customWidth="true"/>
  </cols>
  <sheetData>
    <row r="2" spans="1:1">
      <c r="A2" t="s">
        <v>216</v>
      </c>
    </row>
    <row r="3" spans="1:1">
      <c r="A3" s="20" t="s">
        <v>217</v>
      </c>
    </row>
    <row r="4" spans="1:7">
      <c r="A4" s="21" t="s">
        <v>114</v>
      </c>
      <c r="B4" s="22"/>
      <c r="C4" s="22"/>
      <c r="D4" s="22"/>
      <c r="E4" s="22"/>
      <c r="F4" s="22"/>
      <c r="G4" s="22"/>
    </row>
    <row r="5" spans="1:7">
      <c r="A5" s="23" t="s">
        <v>18</v>
      </c>
      <c r="B5" s="23" t="s">
        <v>53</v>
      </c>
      <c r="C5" s="23" t="s">
        <v>115</v>
      </c>
      <c r="D5" s="23" t="s">
        <v>17</v>
      </c>
      <c r="E5" s="31" t="s">
        <v>18</v>
      </c>
      <c r="F5" s="31" t="s">
        <v>116</v>
      </c>
      <c r="G5" s="23" t="s">
        <v>19</v>
      </c>
    </row>
    <row r="6" spans="1:7">
      <c r="A6" s="28" t="s">
        <v>117</v>
      </c>
      <c r="B6" s="28" t="s">
        <v>118</v>
      </c>
      <c r="C6" s="28" t="s">
        <v>119</v>
      </c>
      <c r="D6" s="23"/>
      <c r="E6" s="31"/>
      <c r="F6" s="31"/>
      <c r="G6" s="23"/>
    </row>
    <row r="7" spans="1:7">
      <c r="A7" s="28" t="s">
        <v>121</v>
      </c>
      <c r="B7" s="28" t="s">
        <v>122</v>
      </c>
      <c r="C7" s="28" t="s">
        <v>123</v>
      </c>
      <c r="D7" s="23"/>
      <c r="E7" s="23"/>
      <c r="F7" s="23"/>
      <c r="G7" s="32"/>
    </row>
    <row r="8" spans="1:7">
      <c r="A8" s="28" t="s">
        <v>125</v>
      </c>
      <c r="B8" s="28" t="s">
        <v>122</v>
      </c>
      <c r="C8" s="28" t="s">
        <v>126</v>
      </c>
      <c r="D8" s="23"/>
      <c r="E8" s="23"/>
      <c r="F8" s="23"/>
      <c r="G8" s="32"/>
    </row>
    <row r="9" spans="1:7">
      <c r="A9" s="23" t="s">
        <v>128</v>
      </c>
      <c r="B9" s="23" t="s">
        <v>118</v>
      </c>
      <c r="C9" s="23" t="s">
        <v>129</v>
      </c>
      <c r="D9" s="23"/>
      <c r="E9" s="23"/>
      <c r="F9" s="23"/>
      <c r="G9" s="32"/>
    </row>
    <row r="10" spans="1:7">
      <c r="A10" s="23" t="s">
        <v>130</v>
      </c>
      <c r="B10" s="23" t="s">
        <v>118</v>
      </c>
      <c r="C10" s="23" t="s">
        <v>131</v>
      </c>
      <c r="D10" s="23"/>
      <c r="E10" s="23"/>
      <c r="F10" s="23"/>
      <c r="G10" s="32"/>
    </row>
    <row r="11" spans="1:7">
      <c r="A11" s="23" t="s">
        <v>132</v>
      </c>
      <c r="B11" s="23" t="s">
        <v>122</v>
      </c>
      <c r="C11" s="23" t="s">
        <v>133</v>
      </c>
      <c r="D11" s="23"/>
      <c r="E11" s="23"/>
      <c r="F11" s="23"/>
      <c r="G11" s="32"/>
    </row>
    <row r="12" spans="1:7">
      <c r="A12" s="23" t="s">
        <v>134</v>
      </c>
      <c r="B12" s="23" t="s">
        <v>122</v>
      </c>
      <c r="C12" s="23" t="s">
        <v>135</v>
      </c>
      <c r="D12" s="23"/>
      <c r="E12" s="23"/>
      <c r="F12" s="23"/>
      <c r="G12" s="32"/>
    </row>
    <row r="13" spans="1:7">
      <c r="A13" s="23" t="s">
        <v>136</v>
      </c>
      <c r="B13" s="23" t="s">
        <v>122</v>
      </c>
      <c r="C13" s="23" t="s">
        <v>137</v>
      </c>
      <c r="D13" s="23"/>
      <c r="E13" s="23"/>
      <c r="F13" s="23"/>
      <c r="G13" s="32"/>
    </row>
    <row r="14" spans="1:7">
      <c r="A14" s="23" t="s">
        <v>138</v>
      </c>
      <c r="B14" s="23" t="s">
        <v>118</v>
      </c>
      <c r="C14" s="23" t="s">
        <v>201</v>
      </c>
      <c r="D14" s="23"/>
      <c r="E14" s="23"/>
      <c r="F14" s="23"/>
      <c r="G14" s="32"/>
    </row>
    <row r="15" spans="1:7">
      <c r="A15" s="23" t="s">
        <v>187</v>
      </c>
      <c r="B15" s="23" t="s">
        <v>122</v>
      </c>
      <c r="C15" s="23" t="s">
        <v>218</v>
      </c>
      <c r="D15" s="23"/>
      <c r="E15" s="23"/>
      <c r="F15" s="23"/>
      <c r="G15" s="32"/>
    </row>
    <row r="16" spans="1:7">
      <c r="A16" s="23" t="s">
        <v>219</v>
      </c>
      <c r="B16" s="23" t="s">
        <v>156</v>
      </c>
      <c r="C16" s="23" t="s">
        <v>220</v>
      </c>
      <c r="D16" s="23"/>
      <c r="E16" s="23"/>
      <c r="F16" s="23"/>
      <c r="G16" s="23"/>
    </row>
    <row r="17" spans="1:7">
      <c r="A17" s="23" t="s">
        <v>221</v>
      </c>
      <c r="B17" s="23" t="s">
        <v>156</v>
      </c>
      <c r="C17" s="23" t="s">
        <v>222</v>
      </c>
      <c r="D17" s="23"/>
      <c r="E17" s="23"/>
      <c r="F17" s="23"/>
      <c r="G17" s="23"/>
    </row>
    <row r="18" spans="1:7">
      <c r="A18" s="23" t="s">
        <v>211</v>
      </c>
      <c r="B18" s="23" t="s">
        <v>156</v>
      </c>
      <c r="C18" s="23" t="s">
        <v>75</v>
      </c>
      <c r="D18" s="23"/>
      <c r="E18" s="23"/>
      <c r="F18" s="23"/>
      <c r="G18" s="23"/>
    </row>
    <row r="19" spans="1:7">
      <c r="A19" s="23" t="s">
        <v>223</v>
      </c>
      <c r="B19" s="23" t="s">
        <v>156</v>
      </c>
      <c r="C19" s="23" t="s">
        <v>224</v>
      </c>
      <c r="D19" s="23"/>
      <c r="E19" s="23"/>
      <c r="F19" s="23"/>
      <c r="G19" s="23"/>
    </row>
    <row r="20" spans="1:7">
      <c r="A20" s="28" t="s">
        <v>160</v>
      </c>
      <c r="B20" s="28" t="s">
        <v>142</v>
      </c>
      <c r="C20" s="28" t="s">
        <v>161</v>
      </c>
      <c r="D20" s="23"/>
      <c r="E20" s="23"/>
      <c r="F20" s="23"/>
      <c r="G20" s="23"/>
    </row>
    <row r="21" spans="1:7">
      <c r="A21" s="28" t="s">
        <v>147</v>
      </c>
      <c r="B21" s="28" t="s">
        <v>142</v>
      </c>
      <c r="C21" s="28" t="s">
        <v>148</v>
      </c>
      <c r="D21" s="23"/>
      <c r="E21" s="23"/>
      <c r="F21" s="23"/>
      <c r="G21" s="23"/>
    </row>
    <row r="22" spans="1:7">
      <c r="A22" s="28" t="s">
        <v>185</v>
      </c>
      <c r="B22" s="28" t="s">
        <v>142</v>
      </c>
      <c r="C22" s="28" t="s">
        <v>186</v>
      </c>
      <c r="D22" s="23"/>
      <c r="E22" s="23"/>
      <c r="F22" s="23"/>
      <c r="G22" s="23"/>
    </row>
    <row r="23" spans="1:7">
      <c r="A23" s="28" t="s">
        <v>165</v>
      </c>
      <c r="B23" s="28" t="s">
        <v>142</v>
      </c>
      <c r="C23" s="28" t="s">
        <v>166</v>
      </c>
      <c r="D23" s="23"/>
      <c r="E23" s="23"/>
      <c r="F23" s="23"/>
      <c r="G23" s="23"/>
    </row>
    <row r="24" spans="1:7">
      <c r="A24" s="34" t="s">
        <v>167</v>
      </c>
      <c r="B24" s="23" t="s">
        <v>156</v>
      </c>
      <c r="C24" s="23" t="s">
        <v>168</v>
      </c>
      <c r="D24" s="23"/>
      <c r="E24" s="23"/>
      <c r="F24" s="23"/>
      <c r="G24" s="23"/>
    </row>
    <row r="25" spans="1:7">
      <c r="A25" s="34" t="s">
        <v>169</v>
      </c>
      <c r="B25" s="23" t="s">
        <v>156</v>
      </c>
      <c r="C25" s="23" t="s">
        <v>170</v>
      </c>
      <c r="D25" s="23"/>
      <c r="E25" s="23"/>
      <c r="F25" s="23"/>
      <c r="G25" s="23"/>
    </row>
    <row r="26" spans="1:7">
      <c r="A26" s="30" t="s">
        <v>214</v>
      </c>
      <c r="B26" s="23" t="s">
        <v>118</v>
      </c>
      <c r="C26" s="23" t="s">
        <v>194</v>
      </c>
      <c r="D26" s="23"/>
      <c r="E26" s="23"/>
      <c r="F26" s="23"/>
      <c r="G26" s="23"/>
    </row>
    <row r="27" spans="1:7">
      <c r="A27" s="30" t="s">
        <v>124</v>
      </c>
      <c r="B27" s="23" t="s">
        <v>142</v>
      </c>
      <c r="C27" s="23" t="s">
        <v>195</v>
      </c>
      <c r="D27" s="23"/>
      <c r="E27" s="23"/>
      <c r="F27" s="23"/>
      <c r="G27" s="23"/>
    </row>
    <row r="28" spans="1:7">
      <c r="A28" s="30" t="s">
        <v>127</v>
      </c>
      <c r="B28" s="8" t="s">
        <v>142</v>
      </c>
      <c r="C28" s="8" t="s">
        <v>196</v>
      </c>
      <c r="D28" s="8"/>
      <c r="E28" s="8"/>
      <c r="F28" s="8"/>
      <c r="G28" s="8"/>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21"/>
  <sheetViews>
    <sheetView tabSelected="1" workbookViewId="0">
      <selection activeCell="G17" sqref="G17"/>
    </sheetView>
  </sheetViews>
  <sheetFormatPr defaultColWidth="9" defaultRowHeight="15.75" outlineLevelCol="6"/>
  <cols>
    <col min="1" max="1" width="13.75" customWidth="true"/>
    <col min="2" max="2" width="12.75" customWidth="true"/>
    <col min="3" max="3" width="16.375" customWidth="true"/>
  </cols>
  <sheetData>
    <row r="2" spans="1:1">
      <c r="A2" t="s">
        <v>225</v>
      </c>
    </row>
    <row r="3" spans="1:1">
      <c r="A3" t="s">
        <v>226</v>
      </c>
    </row>
    <row r="4" spans="1:1">
      <c r="A4" t="s">
        <v>227</v>
      </c>
    </row>
    <row r="5" spans="1:7">
      <c r="A5" s="23" t="s">
        <v>18</v>
      </c>
      <c r="B5" s="23" t="s">
        <v>53</v>
      </c>
      <c r="C5" s="23" t="s">
        <v>115</v>
      </c>
      <c r="D5" s="23" t="s">
        <v>17</v>
      </c>
      <c r="E5" s="31" t="s">
        <v>18</v>
      </c>
      <c r="F5" s="31" t="s">
        <v>116</v>
      </c>
      <c r="G5" s="23" t="s">
        <v>19</v>
      </c>
    </row>
    <row r="6" spans="1:7">
      <c r="A6" s="23" t="s">
        <v>117</v>
      </c>
      <c r="B6" s="23" t="s">
        <v>118</v>
      </c>
      <c r="C6" s="23" t="s">
        <v>119</v>
      </c>
      <c r="D6" s="23"/>
      <c r="E6" s="31"/>
      <c r="F6" s="31"/>
      <c r="G6" s="23"/>
    </row>
    <row r="7" spans="1:7">
      <c r="A7" s="23" t="s">
        <v>121</v>
      </c>
      <c r="B7" s="23" t="s">
        <v>122</v>
      </c>
      <c r="C7" s="23" t="s">
        <v>123</v>
      </c>
      <c r="D7" s="23"/>
      <c r="E7" s="31"/>
      <c r="F7" s="31"/>
      <c r="G7" s="23"/>
    </row>
    <row r="8" spans="1:7">
      <c r="A8" s="23" t="s">
        <v>125</v>
      </c>
      <c r="B8" s="23" t="s">
        <v>122</v>
      </c>
      <c r="C8" s="23" t="s">
        <v>126</v>
      </c>
      <c r="D8" s="23"/>
      <c r="E8" s="23"/>
      <c r="F8" s="23"/>
      <c r="G8" s="32"/>
    </row>
    <row r="9" spans="1:7">
      <c r="A9" s="23" t="s">
        <v>228</v>
      </c>
      <c r="B9" s="23" t="s">
        <v>118</v>
      </c>
      <c r="C9" s="23" t="s">
        <v>150</v>
      </c>
      <c r="D9" s="23"/>
      <c r="E9" s="23"/>
      <c r="F9" s="23"/>
      <c r="G9" s="32"/>
    </row>
    <row r="10" spans="1:7">
      <c r="A10" s="23" t="s">
        <v>187</v>
      </c>
      <c r="B10" s="23" t="s">
        <v>122</v>
      </c>
      <c r="C10" s="23" t="s">
        <v>67</v>
      </c>
      <c r="D10" s="23"/>
      <c r="E10" s="23"/>
      <c r="F10" s="23"/>
      <c r="G10" s="32"/>
    </row>
    <row r="11" spans="1:7">
      <c r="A11" s="24" t="s">
        <v>229</v>
      </c>
      <c r="B11" s="23" t="s">
        <v>118</v>
      </c>
      <c r="C11" s="24" t="s">
        <v>229</v>
      </c>
      <c r="D11" s="23"/>
      <c r="E11" s="23"/>
      <c r="F11" s="23"/>
      <c r="G11" s="23"/>
    </row>
    <row r="12" spans="1:7">
      <c r="A12" s="24" t="s">
        <v>230</v>
      </c>
      <c r="B12" s="23" t="s">
        <v>118</v>
      </c>
      <c r="C12" s="24" t="s">
        <v>230</v>
      </c>
      <c r="D12" s="23"/>
      <c r="E12" s="33" t="s">
        <v>231</v>
      </c>
      <c r="F12" s="23"/>
      <c r="G12" s="23" t="s">
        <v>232</v>
      </c>
    </row>
    <row r="13" spans="1:7">
      <c r="A13" s="24" t="s">
        <v>233</v>
      </c>
      <c r="B13" s="23" t="s">
        <v>118</v>
      </c>
      <c r="C13" s="24" t="s">
        <v>233</v>
      </c>
      <c r="D13" s="23"/>
      <c r="E13" s="33" t="s">
        <v>234</v>
      </c>
      <c r="F13" s="23"/>
      <c r="G13" s="23"/>
    </row>
    <row r="14" spans="1:7">
      <c r="A14" s="25" t="s">
        <v>235</v>
      </c>
      <c r="B14" s="23" t="s">
        <v>236</v>
      </c>
      <c r="C14" s="23" t="s">
        <v>237</v>
      </c>
      <c r="D14" s="23"/>
      <c r="E14" s="23"/>
      <c r="F14" s="23"/>
      <c r="G14" s="23" t="s">
        <v>238</v>
      </c>
    </row>
    <row r="15" spans="1:7">
      <c r="A15" s="26" t="s">
        <v>239</v>
      </c>
      <c r="B15" s="8" t="s">
        <v>156</v>
      </c>
      <c r="C15" s="8" t="s">
        <v>240</v>
      </c>
      <c r="D15" s="8"/>
      <c r="E15" s="8"/>
      <c r="F15" s="8"/>
      <c r="G15" s="8" t="s">
        <v>241</v>
      </c>
    </row>
    <row r="16" spans="1:7">
      <c r="A16" s="26" t="s">
        <v>242</v>
      </c>
      <c r="B16" s="8" t="s">
        <v>236</v>
      </c>
      <c r="C16" s="8" t="s">
        <v>243</v>
      </c>
      <c r="D16" s="8"/>
      <c r="E16" s="8"/>
      <c r="F16" s="8"/>
      <c r="G16" s="8" t="s">
        <v>238</v>
      </c>
    </row>
    <row r="17" spans="1:7">
      <c r="A17" s="27" t="s">
        <v>244</v>
      </c>
      <c r="B17" s="29" t="s">
        <v>156</v>
      </c>
      <c r="C17" s="28" t="s">
        <v>245</v>
      </c>
      <c r="D17" s="28"/>
      <c r="E17" s="28"/>
      <c r="F17" s="28" t="s">
        <v>246</v>
      </c>
      <c r="G17" s="29" t="s">
        <v>247</v>
      </c>
    </row>
    <row r="18" spans="1:7">
      <c r="A18" s="27" t="s">
        <v>248</v>
      </c>
      <c r="B18" s="29" t="s">
        <v>236</v>
      </c>
      <c r="C18" s="28" t="s">
        <v>249</v>
      </c>
      <c r="D18" s="28"/>
      <c r="E18" s="28"/>
      <c r="F18" s="28"/>
      <c r="G18" s="29" t="s">
        <v>250</v>
      </c>
    </row>
    <row r="19" spans="1:7">
      <c r="A19" s="30" t="s">
        <v>214</v>
      </c>
      <c r="B19" s="8" t="s">
        <v>118</v>
      </c>
      <c r="C19" s="8" t="s">
        <v>194</v>
      </c>
      <c r="D19" s="8"/>
      <c r="E19" s="8"/>
      <c r="F19" s="8"/>
      <c r="G19" s="8"/>
    </row>
    <row r="20" spans="1:7">
      <c r="A20" s="30" t="s">
        <v>124</v>
      </c>
      <c r="B20" s="23" t="s">
        <v>142</v>
      </c>
      <c r="C20" s="23" t="s">
        <v>195</v>
      </c>
      <c r="D20" s="8"/>
      <c r="E20" s="8"/>
      <c r="F20" s="8"/>
      <c r="G20" s="8"/>
    </row>
    <row r="21" spans="1:7">
      <c r="A21" s="30" t="s">
        <v>127</v>
      </c>
      <c r="B21" s="8" t="s">
        <v>142</v>
      </c>
      <c r="C21" s="8" t="s">
        <v>196</v>
      </c>
      <c r="D21" s="8"/>
      <c r="E21" s="8"/>
      <c r="F21" s="8"/>
      <c r="G21" s="8"/>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selection activeCell="E27" sqref="E27"/>
    </sheetView>
  </sheetViews>
  <sheetFormatPr defaultColWidth="9" defaultRowHeight="15.75" outlineLevelCol="6"/>
  <cols>
    <col min="1" max="1" width="15.625" customWidth="true"/>
  </cols>
  <sheetData>
    <row r="1" spans="1:1">
      <c r="A1" t="s">
        <v>251</v>
      </c>
    </row>
    <row r="2" spans="1:1">
      <c r="A2" s="20" t="s">
        <v>252</v>
      </c>
    </row>
    <row r="3" spans="1:1">
      <c r="A3" s="20" t="s">
        <v>253</v>
      </c>
    </row>
    <row r="4" spans="1:1">
      <c r="A4" s="20"/>
    </row>
    <row r="5" spans="1:7">
      <c r="A5" s="21" t="s">
        <v>254</v>
      </c>
      <c r="B5" s="22"/>
      <c r="C5" s="22"/>
      <c r="D5" s="22"/>
      <c r="E5" s="22"/>
      <c r="F5" s="22"/>
      <c r="G5" s="22"/>
    </row>
    <row r="6" spans="1:7">
      <c r="A6" s="23" t="s">
        <v>18</v>
      </c>
      <c r="B6" s="23" t="s">
        <v>53</v>
      </c>
      <c r="C6" s="23" t="s">
        <v>115</v>
      </c>
      <c r="D6" s="23" t="s">
        <v>17</v>
      </c>
      <c r="E6" s="31" t="s">
        <v>18</v>
      </c>
      <c r="F6" s="31" t="s">
        <v>116</v>
      </c>
      <c r="G6" s="23" t="s">
        <v>19</v>
      </c>
    </row>
    <row r="7" spans="1:7">
      <c r="A7" s="23" t="s">
        <v>117</v>
      </c>
      <c r="B7" s="23" t="s">
        <v>118</v>
      </c>
      <c r="C7" s="23" t="s">
        <v>119</v>
      </c>
      <c r="D7" s="23"/>
      <c r="E7" s="31"/>
      <c r="F7" s="31"/>
      <c r="G7" s="23"/>
    </row>
    <row r="8" spans="1:7">
      <c r="A8" s="23" t="s">
        <v>121</v>
      </c>
      <c r="B8" s="23" t="s">
        <v>122</v>
      </c>
      <c r="C8" s="23" t="s">
        <v>123</v>
      </c>
      <c r="D8" s="23"/>
      <c r="E8" s="31"/>
      <c r="F8" s="31"/>
      <c r="G8" s="23"/>
    </row>
    <row r="9" spans="1:7">
      <c r="A9" s="23" t="s">
        <v>125</v>
      </c>
      <c r="B9" s="23" t="s">
        <v>122</v>
      </c>
      <c r="C9" s="23" t="s">
        <v>126</v>
      </c>
      <c r="D9" s="23"/>
      <c r="E9" s="23"/>
      <c r="F9" s="23"/>
      <c r="G9" s="32"/>
    </row>
    <row r="10" spans="1:7">
      <c r="A10" s="23" t="s">
        <v>187</v>
      </c>
      <c r="B10" s="23" t="s">
        <v>122</v>
      </c>
      <c r="C10" s="23" t="s">
        <v>67</v>
      </c>
      <c r="D10" s="23"/>
      <c r="E10" s="23"/>
      <c r="F10" s="23"/>
      <c r="G10" s="32"/>
    </row>
    <row r="11" spans="1:7">
      <c r="A11" s="24" t="s">
        <v>229</v>
      </c>
      <c r="B11" s="23" t="s">
        <v>118</v>
      </c>
      <c r="C11" s="24" t="s">
        <v>229</v>
      </c>
      <c r="D11" s="23"/>
      <c r="E11" s="23"/>
      <c r="F11" s="23"/>
      <c r="G11" s="23"/>
    </row>
    <row r="12" spans="1:7">
      <c r="A12" s="24" t="s">
        <v>230</v>
      </c>
      <c r="B12" s="23" t="s">
        <v>118</v>
      </c>
      <c r="C12" s="24" t="s">
        <v>230</v>
      </c>
      <c r="D12" s="23"/>
      <c r="E12" s="23"/>
      <c r="F12" s="23"/>
      <c r="G12" s="23"/>
    </row>
    <row r="13" spans="1:7">
      <c r="A13" s="24" t="s">
        <v>233</v>
      </c>
      <c r="B13" s="23" t="s">
        <v>118</v>
      </c>
      <c r="C13" s="24" t="s">
        <v>233</v>
      </c>
      <c r="D13" s="23"/>
      <c r="E13" s="23"/>
      <c r="F13" s="23"/>
      <c r="G13" s="23"/>
    </row>
    <row r="14" spans="1:7">
      <c r="A14" s="25" t="s">
        <v>235</v>
      </c>
      <c r="B14" s="23" t="s">
        <v>236</v>
      </c>
      <c r="C14" s="23" t="s">
        <v>237</v>
      </c>
      <c r="D14" s="23"/>
      <c r="E14" s="23"/>
      <c r="F14" s="23"/>
      <c r="G14" s="23"/>
    </row>
    <row r="15" spans="1:7">
      <c r="A15" s="26" t="s">
        <v>239</v>
      </c>
      <c r="B15" s="8" t="s">
        <v>156</v>
      </c>
      <c r="C15" s="8" t="s">
        <v>240</v>
      </c>
      <c r="D15" s="8"/>
      <c r="E15" s="8"/>
      <c r="F15" s="8"/>
      <c r="G15" s="8"/>
    </row>
    <row r="16" spans="1:7">
      <c r="A16" s="26" t="s">
        <v>242</v>
      </c>
      <c r="B16" s="8" t="s">
        <v>236</v>
      </c>
      <c r="C16" s="8" t="s">
        <v>243</v>
      </c>
      <c r="D16" s="8"/>
      <c r="E16" s="8"/>
      <c r="F16" s="8"/>
      <c r="G16" s="8"/>
    </row>
    <row r="17" spans="1:7">
      <c r="A17" s="27" t="s">
        <v>244</v>
      </c>
      <c r="B17" s="28" t="s">
        <v>156</v>
      </c>
      <c r="C17" s="28" t="s">
        <v>245</v>
      </c>
      <c r="D17" s="8"/>
      <c r="E17" s="8"/>
      <c r="F17" s="8"/>
      <c r="G17" s="8"/>
    </row>
    <row r="18" spans="1:7">
      <c r="A18" s="27" t="s">
        <v>248</v>
      </c>
      <c r="B18" s="29" t="s">
        <v>236</v>
      </c>
      <c r="C18" s="28" t="s">
        <v>249</v>
      </c>
      <c r="D18" s="28"/>
      <c r="E18" s="28"/>
      <c r="F18" s="28"/>
      <c r="G18" s="29" t="s">
        <v>250</v>
      </c>
    </row>
    <row r="19" spans="1:7">
      <c r="A19" s="30" t="s">
        <v>214</v>
      </c>
      <c r="B19" s="8" t="s">
        <v>118</v>
      </c>
      <c r="C19" s="8" t="s">
        <v>194</v>
      </c>
      <c r="D19" s="8"/>
      <c r="E19" s="8"/>
      <c r="F19" s="8"/>
      <c r="G19" s="8"/>
    </row>
    <row r="20" spans="1:7">
      <c r="A20" s="30" t="s">
        <v>124</v>
      </c>
      <c r="B20" s="23" t="s">
        <v>142</v>
      </c>
      <c r="C20" s="23" t="s">
        <v>195</v>
      </c>
      <c r="D20" s="8"/>
      <c r="E20" s="8"/>
      <c r="F20" s="8"/>
      <c r="G20" s="8"/>
    </row>
    <row r="21" spans="1:7">
      <c r="A21" s="30" t="s">
        <v>127</v>
      </c>
      <c r="B21" s="8" t="s">
        <v>142</v>
      </c>
      <c r="C21" s="8" t="s">
        <v>196</v>
      </c>
      <c r="D21" s="8"/>
      <c r="E21" s="8"/>
      <c r="F21" s="8"/>
      <c r="G21" s="8"/>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T8"/>
  <sheetViews>
    <sheetView topLeftCell="B1" workbookViewId="0">
      <selection activeCell="I18" sqref="I18"/>
    </sheetView>
  </sheetViews>
  <sheetFormatPr defaultColWidth="9" defaultRowHeight="15.75" outlineLevelRow="7"/>
  <cols>
    <col min="3" max="3" width="2.4" customWidth="true"/>
    <col min="6" max="6" width="3.6" customWidth="true"/>
    <col min="7" max="7" width="13.5" customWidth="true"/>
    <col min="9" max="9" width="11.7" customWidth="true"/>
    <col min="18" max="18" width="8.4" customWidth="true"/>
  </cols>
  <sheetData>
    <row r="1" spans="7:20">
      <c r="G1" s="1" t="s">
        <v>255</v>
      </c>
      <c r="H1" s="1" t="s">
        <v>256</v>
      </c>
      <c r="I1" s="1" t="s">
        <v>257</v>
      </c>
      <c r="J1" s="4" t="s">
        <v>258</v>
      </c>
      <c r="K1" s="4"/>
      <c r="L1" s="5" t="s">
        <v>259</v>
      </c>
      <c r="M1" s="11"/>
      <c r="N1" s="11"/>
      <c r="O1" s="11"/>
      <c r="P1" s="11"/>
      <c r="Q1" s="11"/>
      <c r="R1" s="11"/>
      <c r="S1" s="11"/>
      <c r="T1" s="19"/>
    </row>
    <row r="2" spans="7:20">
      <c r="G2" s="2"/>
      <c r="H2" s="2"/>
      <c r="I2" s="2"/>
      <c r="J2" s="6" t="s">
        <v>260</v>
      </c>
      <c r="K2" s="6" t="s">
        <v>261</v>
      </c>
      <c r="L2" s="6" t="s">
        <v>262</v>
      </c>
      <c r="M2" s="6" t="s">
        <v>263</v>
      </c>
      <c r="N2" s="6" t="s">
        <v>264</v>
      </c>
      <c r="O2" s="6" t="s">
        <v>265</v>
      </c>
      <c r="P2" s="6" t="s">
        <v>266</v>
      </c>
      <c r="Q2" s="6" t="s">
        <v>267</v>
      </c>
      <c r="R2" s="6" t="s">
        <v>268</v>
      </c>
      <c r="S2" s="6" t="s">
        <v>269</v>
      </c>
      <c r="T2" s="6" t="s">
        <v>270</v>
      </c>
    </row>
    <row r="3" spans="7:20">
      <c r="G3" s="3" t="s">
        <v>271</v>
      </c>
      <c r="H3" s="3" t="s">
        <v>272</v>
      </c>
      <c r="I3" s="3" t="s">
        <v>273</v>
      </c>
      <c r="J3" s="3">
        <v>400</v>
      </c>
      <c r="K3" s="3">
        <v>20000</v>
      </c>
      <c r="L3" s="7" t="s">
        <v>274</v>
      </c>
      <c r="M3" s="12" t="s">
        <v>275</v>
      </c>
      <c r="N3" s="13" t="s">
        <v>276</v>
      </c>
      <c r="O3" s="14" t="s">
        <v>277</v>
      </c>
      <c r="P3" s="15" t="s">
        <v>278</v>
      </c>
      <c r="Q3" s="18" t="s">
        <v>279</v>
      </c>
      <c r="R3" s="17" t="s">
        <v>280</v>
      </c>
      <c r="S3" s="16" t="s">
        <v>281</v>
      </c>
      <c r="T3" s="10" t="s">
        <v>282</v>
      </c>
    </row>
    <row r="4" spans="7:20">
      <c r="G4" s="3"/>
      <c r="H4" s="3"/>
      <c r="I4" s="3"/>
      <c r="J4" s="3"/>
      <c r="K4" s="3"/>
      <c r="L4" s="8">
        <v>0</v>
      </c>
      <c r="M4" s="8">
        <v>0.125</v>
      </c>
      <c r="N4" s="8">
        <v>0.25</v>
      </c>
      <c r="O4" s="8">
        <v>0.375</v>
      </c>
      <c r="P4" s="8">
        <v>0.5</v>
      </c>
      <c r="Q4" s="8">
        <v>0.625</v>
      </c>
      <c r="R4" s="8">
        <v>0.75</v>
      </c>
      <c r="S4" s="8">
        <v>0.875</v>
      </c>
      <c r="T4" s="8">
        <v>1</v>
      </c>
    </row>
    <row r="5" spans="7:20">
      <c r="G5" s="3" t="s">
        <v>283</v>
      </c>
      <c r="H5" s="3" t="s">
        <v>272</v>
      </c>
      <c r="I5" s="9" t="s">
        <v>284</v>
      </c>
      <c r="J5" s="3">
        <v>-115</v>
      </c>
      <c r="K5" s="3">
        <v>-85</v>
      </c>
      <c r="L5" s="10" t="s">
        <v>282</v>
      </c>
      <c r="M5" s="16" t="s">
        <v>281</v>
      </c>
      <c r="N5" s="17" t="s">
        <v>280</v>
      </c>
      <c r="O5" s="18" t="s">
        <v>279</v>
      </c>
      <c r="P5" s="15" t="s">
        <v>278</v>
      </c>
      <c r="Q5" s="14" t="s">
        <v>277</v>
      </c>
      <c r="R5" s="13" t="s">
        <v>276</v>
      </c>
      <c r="S5" s="12" t="s">
        <v>275</v>
      </c>
      <c r="T5" s="7" t="s">
        <v>274</v>
      </c>
    </row>
    <row r="6" spans="7:20">
      <c r="G6" s="3"/>
      <c r="H6" s="3"/>
      <c r="I6" s="9"/>
      <c r="J6" s="3"/>
      <c r="K6" s="3"/>
      <c r="L6" s="8">
        <v>1</v>
      </c>
      <c r="M6" s="8">
        <v>0.875</v>
      </c>
      <c r="N6" s="8">
        <v>0.75</v>
      </c>
      <c r="O6" s="8">
        <v>0.625</v>
      </c>
      <c r="P6" s="8">
        <v>0.5</v>
      </c>
      <c r="Q6" s="8">
        <v>0.375</v>
      </c>
      <c r="R6" s="8">
        <v>0.25</v>
      </c>
      <c r="S6" s="8">
        <v>0.125</v>
      </c>
      <c r="T6" s="8">
        <v>0</v>
      </c>
    </row>
    <row r="7" spans="7:20">
      <c r="G7" s="3" t="s">
        <v>285</v>
      </c>
      <c r="H7" s="3" t="s">
        <v>272</v>
      </c>
      <c r="I7" s="3" t="s">
        <v>273</v>
      </c>
      <c r="J7" s="3">
        <v>120</v>
      </c>
      <c r="K7" s="3">
        <v>1120</v>
      </c>
      <c r="L7" s="7" t="s">
        <v>274</v>
      </c>
      <c r="M7" s="12" t="s">
        <v>275</v>
      </c>
      <c r="N7" s="13" t="s">
        <v>276</v>
      </c>
      <c r="O7" s="14" t="s">
        <v>277</v>
      </c>
      <c r="P7" s="15" t="s">
        <v>278</v>
      </c>
      <c r="Q7" s="18" t="s">
        <v>279</v>
      </c>
      <c r="R7" s="17" t="s">
        <v>280</v>
      </c>
      <c r="S7" s="16" t="s">
        <v>281</v>
      </c>
      <c r="T7" s="10" t="s">
        <v>282</v>
      </c>
    </row>
    <row r="8" spans="7:20">
      <c r="G8" s="3"/>
      <c r="H8" s="3"/>
      <c r="I8" s="3"/>
      <c r="J8" s="3"/>
      <c r="K8" s="3"/>
      <c r="L8" s="8">
        <v>0</v>
      </c>
      <c r="M8" s="8">
        <v>0.125</v>
      </c>
      <c r="N8" s="8">
        <v>0.25</v>
      </c>
      <c r="O8" s="8">
        <v>0.375</v>
      </c>
      <c r="P8" s="8">
        <v>0.5</v>
      </c>
      <c r="Q8" s="8">
        <v>0.625</v>
      </c>
      <c r="R8" s="8">
        <v>0.75</v>
      </c>
      <c r="S8" s="8">
        <v>0.875</v>
      </c>
      <c r="T8" s="8">
        <v>1</v>
      </c>
    </row>
  </sheetData>
  <mergeCells count="20">
    <mergeCell ref="J1:K1"/>
    <mergeCell ref="L1:T1"/>
    <mergeCell ref="G1:G2"/>
    <mergeCell ref="G3:G4"/>
    <mergeCell ref="G5:G6"/>
    <mergeCell ref="G7:G8"/>
    <mergeCell ref="H1:H2"/>
    <mergeCell ref="H3:H4"/>
    <mergeCell ref="H5:H6"/>
    <mergeCell ref="H7:H8"/>
    <mergeCell ref="I1:I2"/>
    <mergeCell ref="I3:I4"/>
    <mergeCell ref="I5:I6"/>
    <mergeCell ref="I7:I8"/>
    <mergeCell ref="J3:J4"/>
    <mergeCell ref="J5:J6"/>
    <mergeCell ref="J7:J8"/>
    <mergeCell ref="K3:K4"/>
    <mergeCell ref="K5:K6"/>
    <mergeCell ref="K7:K8"/>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drawing r:id="rId1"/>
  <legacyDrawingHF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20" sqref="F20"/>
    </sheetView>
  </sheetViews>
  <sheetFormatPr defaultColWidth="9" defaultRowHeight="15.75"/>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P26" sqref="P26"/>
    </sheetView>
  </sheetViews>
  <sheetFormatPr defaultColWidth="9" defaultRowHeight="15.7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目录</vt:lpstr>
      <vt:lpstr>前端界面说明</vt:lpstr>
      <vt:lpstr>码表与配置</vt:lpstr>
      <vt:lpstr>ads_wdtn_lte_cm_projdata_d</vt:lpstr>
      <vt:lpstr>ads_wdtn_lte_site_correction_d</vt:lpstr>
      <vt:lpstr>ads_wdtn_lte_azimuth_correction</vt:lpstr>
      <vt:lpstr>ads_wdtn_lte_cov_agps_celgrd_d</vt:lpstr>
      <vt:lpstr>ads_wdtn_lte_correction_celgrd_</vt:lpstr>
      <vt:lpstr>GIS图例</vt:lpstr>
      <vt:lpstr>数据表流图</vt:lpstr>
      <vt:lpstr>下发任务逻辑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10129288@zte.intra</cp:lastModifiedBy>
  <dcterms:created xsi:type="dcterms:W3CDTF">1996-12-25T01:32:00Z</dcterms:created>
  <cp:lastPrinted>2015-07-30T07:23:00Z</cp:lastPrinted>
  <dcterms:modified xsi:type="dcterms:W3CDTF">2023-12-18T14:58:51Z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2052-11.8.2.10183</vt:lpwstr>
  </property>
</Properties>
</file>